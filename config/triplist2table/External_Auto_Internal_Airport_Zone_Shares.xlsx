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SM_NextGen_v5\Inputs\external_counts\"/>
    </mc:Choice>
  </mc:AlternateContent>
  <xr:revisionPtr revIDLastSave="0" documentId="13_ncr:1_{2BFB774A-2725-41FE-8999-797192338F0A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External_Auto (v3)" sheetId="3" r:id="rId1"/>
    <sheet name="External_Auto (v4)" sheetId="6" r:id="rId2"/>
    <sheet name="External_Auto" sheetId="1" r:id="rId3"/>
    <sheet name="Link_TAZ_lookup" sheetId="7" r:id="rId4"/>
    <sheet name="Airport" sheetId="2" r:id="rId5"/>
    <sheet name="CanaveralCruiseTrips" sheetId="5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" i="1" l="1"/>
  <c r="J36" i="1"/>
  <c r="J5" i="1"/>
  <c r="H3" i="1"/>
  <c r="H4" i="1"/>
  <c r="H5" i="1"/>
  <c r="H6" i="1"/>
  <c r="H7" i="1"/>
  <c r="H8" i="1"/>
  <c r="I5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37" i="1"/>
  <c r="H38" i="1"/>
  <c r="H39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1" i="1"/>
  <c r="H2" i="1"/>
  <c r="J2" i="1" s="1"/>
  <c r="I2" i="1" s="1"/>
  <c r="J57" i="6"/>
  <c r="I61" i="6" s="1"/>
  <c r="I57" i="6"/>
  <c r="H56" i="6"/>
  <c r="H55" i="6"/>
  <c r="H54" i="6"/>
  <c r="H53" i="6"/>
  <c r="H52" i="6"/>
  <c r="H51" i="6"/>
  <c r="H49" i="6"/>
  <c r="H47" i="6"/>
  <c r="H38" i="6"/>
  <c r="H37" i="6"/>
  <c r="H36" i="6"/>
  <c r="H35" i="6"/>
  <c r="H34" i="6"/>
  <c r="H33" i="6"/>
  <c r="H30" i="6"/>
  <c r="H29" i="6"/>
  <c r="H28" i="6"/>
  <c r="H24" i="6"/>
  <c r="H21" i="6"/>
  <c r="H10" i="6"/>
  <c r="H9" i="6"/>
  <c r="H7" i="6"/>
  <c r="H6" i="6"/>
  <c r="H5" i="6"/>
  <c r="H4" i="6"/>
  <c r="H3" i="6"/>
  <c r="H2" i="6"/>
  <c r="K2" i="1" l="1"/>
  <c r="J36" i="6"/>
  <c r="I38" i="6" s="1"/>
  <c r="J2" i="6"/>
  <c r="I4" i="6" s="1"/>
  <c r="I58" i="6"/>
  <c r="I59" i="6"/>
  <c r="J5" i="6"/>
  <c r="I60" i="6"/>
  <c r="I59" i="1"/>
  <c r="I37" i="1"/>
  <c r="I35" i="1"/>
  <c r="I3" i="1"/>
  <c r="I4" i="1"/>
  <c r="H31" i="3"/>
  <c r="H27" i="3"/>
  <c r="H28" i="3"/>
  <c r="H30" i="3"/>
  <c r="H29" i="3"/>
  <c r="H2" i="3"/>
  <c r="I33" i="1" l="1"/>
  <c r="I30" i="1"/>
  <c r="I23" i="1"/>
  <c r="I9" i="1"/>
  <c r="I32" i="1"/>
  <c r="I24" i="1"/>
  <c r="I22" i="1"/>
  <c r="I18" i="1"/>
  <c r="I15" i="1"/>
  <c r="I14" i="1"/>
  <c r="I13" i="1"/>
  <c r="I10" i="1"/>
  <c r="I7" i="1"/>
  <c r="I31" i="1"/>
  <c r="I28" i="1"/>
  <c r="I25" i="1"/>
  <c r="I20" i="1"/>
  <c r="I17" i="1"/>
  <c r="I12" i="1"/>
  <c r="I6" i="1"/>
  <c r="I34" i="1"/>
  <c r="I27" i="1"/>
  <c r="I21" i="1"/>
  <c r="I11" i="1"/>
  <c r="I29" i="1"/>
  <c r="I26" i="1"/>
  <c r="I19" i="1"/>
  <c r="I16" i="1"/>
  <c r="I8" i="1"/>
  <c r="I55" i="1"/>
  <c r="I56" i="1"/>
  <c r="I60" i="1"/>
  <c r="I36" i="1"/>
  <c r="I53" i="1"/>
  <c r="I52" i="1"/>
  <c r="I50" i="1"/>
  <c r="I48" i="1"/>
  <c r="I47" i="1"/>
  <c r="I45" i="1"/>
  <c r="I43" i="1"/>
  <c r="I42" i="1"/>
  <c r="I40" i="1"/>
  <c r="I38" i="1"/>
  <c r="I58" i="1"/>
  <c r="I57" i="1"/>
  <c r="I54" i="1"/>
  <c r="I51" i="1"/>
  <c r="I49" i="1"/>
  <c r="I46" i="1"/>
  <c r="I44" i="1"/>
  <c r="I41" i="1"/>
  <c r="I39" i="1"/>
  <c r="I61" i="1"/>
  <c r="I18" i="6"/>
  <c r="I17" i="6"/>
  <c r="I16" i="6"/>
  <c r="I13" i="6"/>
  <c r="I12" i="6"/>
  <c r="I11" i="6"/>
  <c r="I32" i="6"/>
  <c r="I26" i="6"/>
  <c r="I23" i="6"/>
  <c r="I8" i="6"/>
  <c r="I31" i="6"/>
  <c r="I25" i="6"/>
  <c r="I19" i="6"/>
  <c r="I15" i="6"/>
  <c r="I14" i="6"/>
  <c r="I27" i="6"/>
  <c r="I24" i="6"/>
  <c r="I20" i="6"/>
  <c r="I22" i="6"/>
  <c r="I7" i="6"/>
  <c r="I28" i="6"/>
  <c r="I35" i="6"/>
  <c r="I3" i="6"/>
  <c r="I10" i="6"/>
  <c r="I49" i="6"/>
  <c r="I29" i="6"/>
  <c r="K2" i="6"/>
  <c r="I47" i="6"/>
  <c r="I51" i="6"/>
  <c r="I2" i="6"/>
  <c r="I5" i="6"/>
  <c r="I33" i="6"/>
  <c r="I34" i="6"/>
  <c r="I36" i="6"/>
  <c r="I56" i="6"/>
  <c r="I21" i="6"/>
  <c r="I30" i="6"/>
  <c r="I43" i="6"/>
  <c r="I41" i="6"/>
  <c r="I46" i="6"/>
  <c r="I44" i="6"/>
  <c r="I42" i="6"/>
  <c r="I39" i="6"/>
  <c r="I50" i="6"/>
  <c r="I48" i="6"/>
  <c r="I45" i="6"/>
  <c r="I40" i="6"/>
  <c r="I55" i="6"/>
  <c r="I54" i="6"/>
  <c r="I53" i="6"/>
  <c r="I37" i="6"/>
  <c r="I6" i="6"/>
  <c r="I52" i="6"/>
  <c r="I9" i="6"/>
</calcChain>
</file>

<file path=xl/sharedStrings.xml><?xml version="1.0" encoding="utf-8"?>
<sst xmlns="http://schemas.openxmlformats.org/spreadsheetml/2006/main" count="357" uniqueCount="61">
  <si>
    <t>Market</t>
  </si>
  <si>
    <t>DMA</t>
  </si>
  <si>
    <t>NextGen_TAZ</t>
  </si>
  <si>
    <t>share</t>
  </si>
  <si>
    <t>Auto</t>
  </si>
  <si>
    <t>Airport</t>
  </si>
  <si>
    <t>I-95</t>
  </si>
  <si>
    <t>I-75</t>
  </si>
  <si>
    <t>I-10</t>
  </si>
  <si>
    <t>US 90</t>
  </si>
  <si>
    <t>US 29</t>
  </si>
  <si>
    <t>SR 89</t>
  </si>
  <si>
    <t>SR 189</t>
  </si>
  <si>
    <t>SR 87</t>
  </si>
  <si>
    <t>US 331/SR 85</t>
  </si>
  <si>
    <t>CR 185</t>
  </si>
  <si>
    <t>SR 77</t>
  </si>
  <si>
    <t>C269A</t>
  </si>
  <si>
    <t>US 231/SR 75</t>
  </si>
  <si>
    <t>SR 71</t>
  </si>
  <si>
    <t>SR 2</t>
  </si>
  <si>
    <t>SR 267</t>
  </si>
  <si>
    <t>US 27</t>
  </si>
  <si>
    <t>US 319</t>
  </si>
  <si>
    <t>US 19</t>
  </si>
  <si>
    <t>US 221</t>
  </si>
  <si>
    <t>SR 145</t>
  </si>
  <si>
    <t>US 41</t>
  </si>
  <si>
    <t>SR 59</t>
  </si>
  <si>
    <t>SR 81</t>
  </si>
  <si>
    <t>US 441/SR 47</t>
  </si>
  <si>
    <t>SR 79</t>
  </si>
  <si>
    <t>US 1</t>
  </si>
  <si>
    <t>US 17</t>
  </si>
  <si>
    <t>CBM</t>
  </si>
  <si>
    <t>Description</t>
  </si>
  <si>
    <t>Count2018</t>
  </si>
  <si>
    <t/>
  </si>
  <si>
    <t>CR 171 + CR 173 (split 1450)</t>
  </si>
  <si>
    <t>FL 79 + CR 173 (split 1450)</t>
  </si>
  <si>
    <t>US 98</t>
  </si>
  <si>
    <t>AL 182</t>
  </si>
  <si>
    <t>US 441</t>
  </si>
  <si>
    <t>US 41 (split 1300)</t>
  </si>
  <si>
    <t>FL 145</t>
  </si>
  <si>
    <t>FL 53</t>
  </si>
  <si>
    <t>CR 149</t>
  </si>
  <si>
    <t>CR 159 + CR 65</t>
  </si>
  <si>
    <t>US 1 / US 23 / US 301</t>
  </si>
  <si>
    <t>Count2022</t>
  </si>
  <si>
    <t>HotelRoom_Share</t>
  </si>
  <si>
    <t>Count2023</t>
  </si>
  <si>
    <t>LINK_ID</t>
  </si>
  <si>
    <t>COSITE</t>
  </si>
  <si>
    <t>FTI_23</t>
  </si>
  <si>
    <t>COUNT_23</t>
  </si>
  <si>
    <t>ExternalZone</t>
  </si>
  <si>
    <t>Row Labels</t>
  </si>
  <si>
    <t>(blank)</t>
  </si>
  <si>
    <t>Grand Total</t>
  </si>
  <si>
    <t>Sum of COUNT_23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</si>
</sst>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 vertical="center" indent="1"/>
    </xf>
    <xf numFmtId="1" fontId="0" fillId="33" borderId="0" xfId="0" applyNumberFormat="1" applyFill="1" applyAlignment="1">
      <alignment horizontal="right" vertical="center" indent="1"/>
    </xf>
    <xf numFmtId="3" fontId="0" fillId="33" borderId="0" xfId="0" applyNumberFormat="1" applyFill="1" applyAlignment="1">
      <alignment horizontal="right" vertical="center" indent="1"/>
    </xf>
    <xf numFmtId="0" fontId="0" fillId="34" borderId="0" xfId="0" applyFill="1"/>
    <xf numFmtId="0" fontId="0" fillId="34" borderId="0" xfId="0" applyFill="1" applyAlignment="1">
      <alignment horizontal="left" vertical="center" indent="1"/>
    </xf>
    <xf numFmtId="1" fontId="0" fillId="34" borderId="0" xfId="0" applyNumberFormat="1" applyFill="1" applyAlignment="1">
      <alignment horizontal="right" vertical="center" indent="1"/>
    </xf>
    <xf numFmtId="3" fontId="0" fillId="34" borderId="0" xfId="0" applyNumberFormat="1" applyFill="1" applyAlignment="1">
      <alignment horizontal="right" vertical="center" indent="1"/>
    </xf>
    <xf numFmtId="0" fontId="0" fillId="35" borderId="0" xfId="0" applyFill="1" applyAlignment="1">
      <alignment horizontal="left" vertical="center" indent="1"/>
    </xf>
    <xf numFmtId="1" fontId="0" fillId="35" borderId="0" xfId="0" applyNumberFormat="1" applyFill="1" applyAlignment="1">
      <alignment horizontal="right" vertical="center" indent="1"/>
    </xf>
    <xf numFmtId="3" fontId="0" fillId="35" borderId="0" xfId="0" applyNumberFormat="1" applyFill="1" applyAlignment="1">
      <alignment horizontal="right" vertical="center" indent="1"/>
    </xf>
    <xf numFmtId="0" fontId="0" fillId="35" borderId="0" xfId="0" applyFill="1"/>
    <xf numFmtId="0" fontId="0" fillId="36" borderId="0" xfId="0" applyFill="1" applyAlignment="1">
      <alignment horizontal="left" vertical="center" indent="1"/>
    </xf>
    <xf numFmtId="1" fontId="0" fillId="36" borderId="0" xfId="0" applyNumberFormat="1" applyFill="1" applyAlignment="1">
      <alignment horizontal="right" vertical="center" indent="1"/>
    </xf>
    <xf numFmtId="3" fontId="0" fillId="36" borderId="0" xfId="0" applyNumberFormat="1" applyFill="1" applyAlignment="1">
      <alignment horizontal="right" vertical="center" indent="1"/>
    </xf>
    <xf numFmtId="0" fontId="0" fillId="36" borderId="0" xfId="0" applyFill="1"/>
    <xf numFmtId="0" fontId="0" fillId="33" borderId="10" xfId="0" applyFill="1" applyBorder="1" applyAlignment="1">
      <alignment horizontal="left" vertical="center" indent="1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42" applyFont="1"/>
    <xf numFmtId="9" fontId="0" fillId="34" borderId="0" xfId="42" applyFont="1" applyFill="1"/>
    <xf numFmtId="9" fontId="0" fillId="36" borderId="0" xfId="42" applyFont="1" applyFill="1"/>
    <xf numFmtId="9" fontId="0" fillId="35" borderId="0" xfId="42" applyFont="1" applyFill="1"/>
    <xf numFmtId="9" fontId="0" fillId="33" borderId="0" xfId="42" applyFont="1" applyFill="1"/>
    <xf numFmtId="0" fontId="0" fillId="0" borderId="1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4" fillId="0" borderId="0" xfId="0" applyFont="1"/>
    <xf numFmtId="0" fontId="18" fillId="0" borderId="0" xfId="0" applyFont="1"/>
    <xf numFmtId="0" fontId="18" fillId="34" borderId="0" xfId="0" applyFont="1" applyFill="1"/>
    <xf numFmtId="0" fontId="18" fillId="36" borderId="0" xfId="0" applyFont="1" applyFill="1"/>
    <xf numFmtId="0" fontId="18" fillId="35" borderId="0" xfId="0" applyFont="1" applyFill="1"/>
    <xf numFmtId="0" fontId="18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vepalli, Venkat" refreshedDate="45580.727104282407" createdVersion="8" refreshedVersion="8" minRefreshableVersion="3" recordCount="64" xr:uid="{867557FB-9D64-4D0D-8E36-47304450D5FA}">
  <cacheSource type="worksheet">
    <worksheetSource ref="D1:E1048576" sheet="Link_TAZ_lookup"/>
  </cacheSource>
  <cacheFields count="2">
    <cacheField name="COUNT_23" numFmtId="0">
      <sharedItems containsString="0" containsBlank="1" containsNumber="1" containsInteger="1" minValue="175" maxValue="37818"/>
    </cacheField>
    <cacheField name="ExternalZone" numFmtId="0">
      <sharedItems containsString="0" containsBlank="1" containsNumber="1" containsInteger="1" minValue="11501" maxValue="11560" count="54">
        <n v="11553"/>
        <n v="11557"/>
        <n v="11537"/>
        <n v="11515"/>
        <n v="11520"/>
        <n v="11521"/>
        <n v="11545"/>
        <n v="11547"/>
        <n v="11527"/>
        <n v="11525"/>
        <n v="11513"/>
        <n v="11535"/>
        <n v="11536"/>
        <n v="11534"/>
        <n v="11507"/>
        <n v="11551"/>
        <n v="11532"/>
        <n v="11514"/>
        <n v="11538"/>
        <n v="11526"/>
        <n v="11530"/>
        <n v="11523"/>
        <n v="11560"/>
        <n v="11555"/>
        <n v="11524"/>
        <n v="11552"/>
        <n v="11546"/>
        <n v="11528"/>
        <n v="11548"/>
        <n v="11510"/>
        <n v="11508"/>
        <n v="11540"/>
        <n v="11509"/>
        <n v="11559"/>
        <n v="11544"/>
        <n v="11519"/>
        <n v="11529"/>
        <n v="11516"/>
        <n v="11517"/>
        <n v="11558"/>
        <n v="11518"/>
        <n v="11533"/>
        <n v="11531"/>
        <n v="11522"/>
        <n v="11512"/>
        <n v="11505"/>
        <n v="11504"/>
        <n v="11503"/>
        <n v="11502"/>
        <n v="11501"/>
        <n v="11541"/>
        <n v="11542"/>
        <n v="1154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375"/>
    <x v="0"/>
  </r>
  <r>
    <n v="1750"/>
    <x v="1"/>
  </r>
  <r>
    <n v="500"/>
    <x v="2"/>
  </r>
  <r>
    <n v="1450"/>
    <x v="3"/>
  </r>
  <r>
    <n v="850"/>
    <x v="4"/>
  </r>
  <r>
    <n v="475"/>
    <x v="5"/>
  </r>
  <r>
    <n v="225"/>
    <x v="6"/>
  </r>
  <r>
    <n v="1900"/>
    <x v="7"/>
  </r>
  <r>
    <n v="1476"/>
    <x v="8"/>
  </r>
  <r>
    <n v="2050"/>
    <x v="9"/>
  </r>
  <r>
    <n v="2000"/>
    <x v="10"/>
  </r>
  <r>
    <n v="350"/>
    <x v="11"/>
  </r>
  <r>
    <n v="678"/>
    <x v="12"/>
  </r>
  <r>
    <n v="425"/>
    <x v="13"/>
  </r>
  <r>
    <n v="2938"/>
    <x v="14"/>
  </r>
  <r>
    <n v="800"/>
    <x v="15"/>
  </r>
  <r>
    <n v="500"/>
    <x v="16"/>
  </r>
  <r>
    <n v="2000"/>
    <x v="17"/>
  </r>
  <r>
    <n v="3600"/>
    <x v="18"/>
  </r>
  <r>
    <n v="800"/>
    <x v="19"/>
  </r>
  <r>
    <n v="375"/>
    <x v="13"/>
  </r>
  <r>
    <n v="375"/>
    <x v="20"/>
  </r>
  <r>
    <n v="350"/>
    <x v="21"/>
  </r>
  <r>
    <n v="37818"/>
    <x v="22"/>
  </r>
  <r>
    <n v="225"/>
    <x v="23"/>
  </r>
  <r>
    <n v="275"/>
    <x v="24"/>
  </r>
  <r>
    <n v="632"/>
    <x v="25"/>
  </r>
  <r>
    <n v="500"/>
    <x v="26"/>
  </r>
  <r>
    <n v="1000"/>
    <x v="27"/>
  </r>
  <r>
    <n v="24027"/>
    <x v="28"/>
  </r>
  <r>
    <n v="24027"/>
    <x v="28"/>
  </r>
  <r>
    <n v="575"/>
    <x v="29"/>
  </r>
  <r>
    <n v="37818"/>
    <x v="22"/>
  </r>
  <r>
    <n v="800"/>
    <x v="30"/>
  </r>
  <r>
    <n v="5750"/>
    <x v="31"/>
  </r>
  <r>
    <n v="5750"/>
    <x v="31"/>
  </r>
  <r>
    <n v="5750"/>
    <x v="32"/>
  </r>
  <r>
    <n v="2300"/>
    <x v="33"/>
  </r>
  <r>
    <n v="675"/>
    <x v="34"/>
  </r>
  <r>
    <n v="800"/>
    <x v="35"/>
  </r>
  <r>
    <n v="7938"/>
    <x v="36"/>
  </r>
  <r>
    <n v="7938"/>
    <x v="36"/>
  </r>
  <r>
    <n v="3600"/>
    <x v="18"/>
  </r>
  <r>
    <n v="2557"/>
    <x v="37"/>
  </r>
  <r>
    <n v="2000"/>
    <x v="38"/>
  </r>
  <r>
    <n v="5006"/>
    <x v="39"/>
  </r>
  <r>
    <n v="5006"/>
    <x v="39"/>
  </r>
  <r>
    <n v="1300"/>
    <x v="40"/>
  </r>
  <r>
    <n v="550"/>
    <x v="41"/>
  </r>
  <r>
    <n v="1050"/>
    <x v="42"/>
  </r>
  <r>
    <n v="275"/>
    <x v="43"/>
  </r>
  <r>
    <n v="225"/>
    <x v="44"/>
  </r>
  <r>
    <n v="1800"/>
    <x v="44"/>
  </r>
  <r>
    <n v="2150"/>
    <x v="45"/>
  </r>
  <r>
    <n v="18000"/>
    <x v="46"/>
  </r>
  <r>
    <n v="18000"/>
    <x v="46"/>
  </r>
  <r>
    <n v="3496"/>
    <x v="47"/>
  </r>
  <r>
    <n v="7388"/>
    <x v="48"/>
  </r>
  <r>
    <n v="7500"/>
    <x v="49"/>
  </r>
  <r>
    <n v="175"/>
    <x v="50"/>
  </r>
  <r>
    <n v="2250"/>
    <x v="51"/>
  </r>
  <r>
    <n v="2250"/>
    <x v="51"/>
  </r>
  <r>
    <n v="250"/>
    <x v="52"/>
  </r>
  <r>
    <m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DE873-051C-49FA-9083-BAEDE35AAAF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57" firstHeaderRow="1" firstDataRow="1" firstDataCol="1"/>
  <pivotFields count="2">
    <pivotField dataField="1" showAll="0"/>
    <pivotField axis="axisRow" showAll="0">
      <items count="55">
        <item x="49"/>
        <item x="48"/>
        <item x="47"/>
        <item x="46"/>
        <item x="45"/>
        <item x="14"/>
        <item x="30"/>
        <item x="32"/>
        <item x="29"/>
        <item x="44"/>
        <item x="10"/>
        <item x="17"/>
        <item x="3"/>
        <item x="37"/>
        <item x="38"/>
        <item x="40"/>
        <item x="35"/>
        <item x="4"/>
        <item x="5"/>
        <item x="43"/>
        <item x="21"/>
        <item x="24"/>
        <item x="9"/>
        <item x="19"/>
        <item x="8"/>
        <item x="27"/>
        <item x="36"/>
        <item x="20"/>
        <item x="42"/>
        <item x="16"/>
        <item x="41"/>
        <item x="13"/>
        <item x="11"/>
        <item x="12"/>
        <item x="2"/>
        <item x="18"/>
        <item x="31"/>
        <item x="50"/>
        <item x="51"/>
        <item x="52"/>
        <item x="34"/>
        <item x="6"/>
        <item x="26"/>
        <item x="7"/>
        <item x="28"/>
        <item x="15"/>
        <item x="25"/>
        <item x="0"/>
        <item x="23"/>
        <item x="1"/>
        <item x="39"/>
        <item x="33"/>
        <item x="22"/>
        <item x="53"/>
        <item t="default"/>
      </items>
    </pivotField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COUNT_23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27A6-DE12-4E2A-AF07-7A5D33016E92}">
  <dimension ref="A1:H31"/>
  <sheetViews>
    <sheetView workbookViewId="0">
      <selection activeCell="E2" sqref="E2:E31"/>
    </sheetView>
  </sheetViews>
  <sheetFormatPr defaultRowHeight="15" x14ac:dyDescent="0.25"/>
  <cols>
    <col min="2" max="2" width="5.28515625" bestFit="1" customWidth="1"/>
    <col min="3" max="3" width="13.5703125" style="22" bestFit="1" customWidth="1"/>
    <col min="4" max="5" width="13.28515625" bestFit="1" customWidth="1"/>
    <col min="6" max="6" width="10.28515625" bestFit="1" customWidth="1"/>
    <col min="8" max="8" width="10.28515625" bestFit="1" customWidth="1"/>
  </cols>
  <sheetData>
    <row r="1" spans="1:8" x14ac:dyDescent="0.25">
      <c r="A1" t="s">
        <v>0</v>
      </c>
      <c r="B1" t="s">
        <v>1</v>
      </c>
      <c r="C1" s="22" t="s">
        <v>34</v>
      </c>
      <c r="D1" t="s">
        <v>35</v>
      </c>
      <c r="E1" t="s">
        <v>2</v>
      </c>
      <c r="F1" t="s">
        <v>36</v>
      </c>
      <c r="G1" t="s">
        <v>3</v>
      </c>
      <c r="H1" t="s">
        <v>49</v>
      </c>
    </row>
    <row r="2" spans="1:8" x14ac:dyDescent="0.25">
      <c r="A2" s="5" t="s">
        <v>4</v>
      </c>
      <c r="B2">
        <v>3</v>
      </c>
      <c r="C2" s="18">
        <v>0</v>
      </c>
      <c r="D2" s="6" t="s">
        <v>6</v>
      </c>
      <c r="E2" s="7">
        <v>11560</v>
      </c>
      <c r="F2" s="8">
        <v>63116</v>
      </c>
      <c r="G2" s="5">
        <v>0.47394347160063699</v>
      </c>
      <c r="H2">
        <f>38266*2</f>
        <v>76532</v>
      </c>
    </row>
    <row r="3" spans="1:8" x14ac:dyDescent="0.25">
      <c r="A3" s="5" t="s">
        <v>4</v>
      </c>
      <c r="B3">
        <v>2</v>
      </c>
      <c r="C3" s="18">
        <v>0</v>
      </c>
      <c r="D3" s="6" t="s">
        <v>7</v>
      </c>
      <c r="E3" s="7">
        <v>11548</v>
      </c>
      <c r="F3" s="8">
        <v>41556</v>
      </c>
      <c r="G3" s="5">
        <v>0.31204757756885831</v>
      </c>
    </row>
    <row r="4" spans="1:8" x14ac:dyDescent="0.25">
      <c r="A4" s="5" t="s">
        <v>4</v>
      </c>
      <c r="B4">
        <v>1</v>
      </c>
      <c r="C4" s="18">
        <v>0</v>
      </c>
      <c r="D4" s="6" t="s">
        <v>8</v>
      </c>
      <c r="E4" s="7">
        <v>11504</v>
      </c>
      <c r="F4" s="8">
        <v>28500</v>
      </c>
      <c r="G4" s="5">
        <v>0.21400895083050492</v>
      </c>
    </row>
    <row r="5" spans="1:8" x14ac:dyDescent="0.25">
      <c r="A5" s="12" t="s">
        <v>4</v>
      </c>
      <c r="B5" s="12">
        <v>1</v>
      </c>
      <c r="C5" s="19">
        <v>1</v>
      </c>
      <c r="D5" s="9" t="s">
        <v>9</v>
      </c>
      <c r="E5" s="10">
        <v>11503</v>
      </c>
      <c r="F5" s="11">
        <v>5059</v>
      </c>
      <c r="G5" s="12">
        <v>0.10296122926630712</v>
      </c>
    </row>
    <row r="6" spans="1:8" x14ac:dyDescent="0.25">
      <c r="A6" s="12" t="s">
        <v>4</v>
      </c>
      <c r="B6" s="12">
        <v>1</v>
      </c>
      <c r="C6" s="19">
        <v>1</v>
      </c>
      <c r="D6" s="9" t="s">
        <v>11</v>
      </c>
      <c r="E6" s="10">
        <v>11510</v>
      </c>
      <c r="F6" s="11">
        <v>1200</v>
      </c>
      <c r="G6" s="12">
        <v>2.4422509412842169E-2</v>
      </c>
    </row>
    <row r="7" spans="1:8" x14ac:dyDescent="0.25">
      <c r="A7" s="12" t="s">
        <v>4</v>
      </c>
      <c r="B7" s="12">
        <v>1</v>
      </c>
      <c r="C7" s="19">
        <v>1</v>
      </c>
      <c r="D7" s="9" t="s">
        <v>12</v>
      </c>
      <c r="E7" s="10">
        <v>11513</v>
      </c>
      <c r="F7" s="11">
        <v>2700</v>
      </c>
      <c r="G7" s="12">
        <v>5.4950646178894884E-2</v>
      </c>
    </row>
    <row r="8" spans="1:8" x14ac:dyDescent="0.25">
      <c r="A8" s="12" t="s">
        <v>4</v>
      </c>
      <c r="B8" s="12">
        <v>1</v>
      </c>
      <c r="C8" s="19">
        <v>1</v>
      </c>
      <c r="D8" s="9" t="s">
        <v>13</v>
      </c>
      <c r="E8" s="10">
        <v>11513</v>
      </c>
      <c r="F8" s="11">
        <v>2700</v>
      </c>
      <c r="G8" s="12">
        <v>5.4950646178894884E-2</v>
      </c>
    </row>
    <row r="9" spans="1:8" x14ac:dyDescent="0.25">
      <c r="A9" s="12" t="s">
        <v>4</v>
      </c>
      <c r="B9" s="12">
        <v>1</v>
      </c>
      <c r="C9" s="19">
        <v>1</v>
      </c>
      <c r="D9" s="9" t="s">
        <v>15</v>
      </c>
      <c r="E9" s="10">
        <v>11520</v>
      </c>
      <c r="F9" s="11">
        <v>1600</v>
      </c>
      <c r="G9" s="12">
        <v>3.2563345883789556E-2</v>
      </c>
    </row>
    <row r="10" spans="1:8" x14ac:dyDescent="0.25">
      <c r="A10" s="12" t="s">
        <v>4</v>
      </c>
      <c r="B10" s="12">
        <v>1</v>
      </c>
      <c r="C10" s="19">
        <v>1</v>
      </c>
      <c r="D10" s="9" t="s">
        <v>16</v>
      </c>
      <c r="E10" s="10">
        <v>11527</v>
      </c>
      <c r="F10" s="11">
        <v>3217</v>
      </c>
      <c r="G10" s="12">
        <v>6.5472677317594388E-2</v>
      </c>
    </row>
    <row r="11" spans="1:8" x14ac:dyDescent="0.25">
      <c r="A11" s="12" t="s">
        <v>4</v>
      </c>
      <c r="B11" s="12">
        <v>1</v>
      </c>
      <c r="C11" s="19">
        <v>1</v>
      </c>
      <c r="D11" s="9" t="s">
        <v>19</v>
      </c>
      <c r="E11" s="10">
        <v>11531</v>
      </c>
      <c r="F11" s="11">
        <v>1950</v>
      </c>
      <c r="G11" s="12">
        <v>3.9686577795868525E-2</v>
      </c>
    </row>
    <row r="12" spans="1:8" x14ac:dyDescent="0.25">
      <c r="A12" s="12" t="s">
        <v>4</v>
      </c>
      <c r="B12" s="12">
        <v>1</v>
      </c>
      <c r="C12" s="19">
        <v>1</v>
      </c>
      <c r="D12" s="9" t="s">
        <v>20</v>
      </c>
      <c r="E12" s="10">
        <v>11533</v>
      </c>
      <c r="F12" s="11">
        <v>2015</v>
      </c>
      <c r="G12" s="12">
        <v>4.1009463722397478E-2</v>
      </c>
    </row>
    <row r="13" spans="1:8" x14ac:dyDescent="0.25">
      <c r="A13" s="12" t="s">
        <v>4</v>
      </c>
      <c r="B13" s="12">
        <v>1</v>
      </c>
      <c r="C13" s="19">
        <v>1</v>
      </c>
      <c r="D13" s="9" t="s">
        <v>10</v>
      </c>
      <c r="E13" s="10">
        <v>11509</v>
      </c>
      <c r="F13" s="11">
        <v>11900</v>
      </c>
      <c r="G13" s="12">
        <v>0.24218988501068484</v>
      </c>
    </row>
    <row r="14" spans="1:8" x14ac:dyDescent="0.25">
      <c r="A14" s="12" t="s">
        <v>4</v>
      </c>
      <c r="B14" s="12">
        <v>1</v>
      </c>
      <c r="C14" s="19">
        <v>1</v>
      </c>
      <c r="D14" s="9" t="s">
        <v>14</v>
      </c>
      <c r="E14" s="10">
        <v>11516</v>
      </c>
      <c r="F14" s="11">
        <v>4017</v>
      </c>
      <c r="G14" s="12">
        <v>8.1754350259489156E-2</v>
      </c>
    </row>
    <row r="15" spans="1:8" x14ac:dyDescent="0.25">
      <c r="A15" s="12" t="s">
        <v>4</v>
      </c>
      <c r="B15" s="12">
        <v>1</v>
      </c>
      <c r="C15" s="19">
        <v>1</v>
      </c>
      <c r="D15" s="9" t="s">
        <v>18</v>
      </c>
      <c r="E15" s="10">
        <v>11529</v>
      </c>
      <c r="F15" s="11">
        <v>12777</v>
      </c>
      <c r="G15" s="12">
        <v>0.26003866897323702</v>
      </c>
    </row>
    <row r="16" spans="1:8" x14ac:dyDescent="0.25">
      <c r="A16" s="16" t="s">
        <v>4</v>
      </c>
      <c r="B16" s="16">
        <v>2</v>
      </c>
      <c r="C16" s="20">
        <v>2</v>
      </c>
      <c r="D16" s="13" t="s">
        <v>17</v>
      </c>
      <c r="E16" s="14">
        <v>11528</v>
      </c>
      <c r="F16" s="15">
        <v>1500</v>
      </c>
      <c r="G16" s="16">
        <v>4.7687172150691466E-2</v>
      </c>
    </row>
    <row r="17" spans="1:8" x14ac:dyDescent="0.25">
      <c r="A17" s="16" t="s">
        <v>4</v>
      </c>
      <c r="B17" s="16">
        <v>2</v>
      </c>
      <c r="C17" s="20">
        <v>2</v>
      </c>
      <c r="D17" s="13" t="s">
        <v>21</v>
      </c>
      <c r="E17" s="14">
        <v>11536</v>
      </c>
      <c r="F17" s="15">
        <v>1505</v>
      </c>
      <c r="G17" s="16">
        <v>4.7846129391193766E-2</v>
      </c>
    </row>
    <row r="18" spans="1:8" x14ac:dyDescent="0.25">
      <c r="A18" s="16" t="s">
        <v>4</v>
      </c>
      <c r="B18" s="16">
        <v>2</v>
      </c>
      <c r="C18" s="20">
        <v>2</v>
      </c>
      <c r="D18" s="13" t="s">
        <v>25</v>
      </c>
      <c r="E18" s="14">
        <v>11544</v>
      </c>
      <c r="F18" s="15">
        <v>1050</v>
      </c>
      <c r="G18" s="16">
        <v>3.3381020505484027E-2</v>
      </c>
    </row>
    <row r="19" spans="1:8" x14ac:dyDescent="0.25">
      <c r="A19" s="16" t="s">
        <v>4</v>
      </c>
      <c r="B19" s="16">
        <v>2</v>
      </c>
      <c r="C19" s="20">
        <v>2</v>
      </c>
      <c r="D19" s="13" t="s">
        <v>26</v>
      </c>
      <c r="E19" s="14">
        <v>11547</v>
      </c>
      <c r="F19" s="15">
        <v>3000</v>
      </c>
      <c r="G19" s="16">
        <v>9.5374344301382932E-2</v>
      </c>
    </row>
    <row r="20" spans="1:8" x14ac:dyDescent="0.25">
      <c r="A20" s="16" t="s">
        <v>4</v>
      </c>
      <c r="B20" s="16">
        <v>2</v>
      </c>
      <c r="C20" s="20">
        <v>2</v>
      </c>
      <c r="D20" s="13" t="s">
        <v>27</v>
      </c>
      <c r="E20" s="14">
        <v>11550</v>
      </c>
      <c r="F20" s="15">
        <v>1300</v>
      </c>
      <c r="G20" s="16">
        <v>4.132888253059927E-2</v>
      </c>
    </row>
    <row r="21" spans="1:8" x14ac:dyDescent="0.25">
      <c r="A21" s="16" t="s">
        <v>4</v>
      </c>
      <c r="B21" s="16">
        <v>2</v>
      </c>
      <c r="C21" s="20">
        <v>2</v>
      </c>
      <c r="D21" s="13" t="s">
        <v>28</v>
      </c>
      <c r="E21" s="14">
        <v>11550</v>
      </c>
      <c r="F21" s="15">
        <v>1300</v>
      </c>
      <c r="G21" s="16">
        <v>4.132888253059927E-2</v>
      </c>
    </row>
    <row r="22" spans="1:8" x14ac:dyDescent="0.25">
      <c r="A22" s="16" t="s">
        <v>4</v>
      </c>
      <c r="B22" s="16">
        <v>2</v>
      </c>
      <c r="C22" s="20">
        <v>2</v>
      </c>
      <c r="D22" s="13" t="s">
        <v>29</v>
      </c>
      <c r="E22" s="14">
        <v>11550</v>
      </c>
      <c r="F22" s="15">
        <v>1300</v>
      </c>
      <c r="G22" s="16">
        <v>4.132888253059927E-2</v>
      </c>
    </row>
    <row r="23" spans="1:8" x14ac:dyDescent="0.25">
      <c r="A23" s="16" t="s">
        <v>4</v>
      </c>
      <c r="B23" s="16">
        <v>2</v>
      </c>
      <c r="C23" s="20">
        <v>2</v>
      </c>
      <c r="D23" s="13" t="s">
        <v>30</v>
      </c>
      <c r="E23" s="14">
        <v>11553</v>
      </c>
      <c r="F23" s="15">
        <v>800</v>
      </c>
      <c r="G23" s="16">
        <v>2.543315848036878E-2</v>
      </c>
    </row>
    <row r="24" spans="1:8" x14ac:dyDescent="0.25">
      <c r="A24" s="16" t="s">
        <v>4</v>
      </c>
      <c r="B24" s="16">
        <v>2</v>
      </c>
      <c r="C24" s="20">
        <v>2</v>
      </c>
      <c r="D24" s="13" t="s">
        <v>22</v>
      </c>
      <c r="E24" s="14">
        <v>11538</v>
      </c>
      <c r="F24" s="15">
        <v>5400</v>
      </c>
      <c r="G24" s="16">
        <v>0.17167381974248927</v>
      </c>
    </row>
    <row r="25" spans="1:8" x14ac:dyDescent="0.25">
      <c r="A25" s="16" t="s">
        <v>4</v>
      </c>
      <c r="B25" s="16">
        <v>2</v>
      </c>
      <c r="C25" s="20">
        <v>2</v>
      </c>
      <c r="D25" s="13" t="s">
        <v>23</v>
      </c>
      <c r="E25" s="14">
        <v>11540</v>
      </c>
      <c r="F25" s="15">
        <v>10500</v>
      </c>
      <c r="G25" s="16">
        <v>0.33381020505484027</v>
      </c>
    </row>
    <row r="26" spans="1:8" x14ac:dyDescent="0.25">
      <c r="A26" s="16" t="s">
        <v>4</v>
      </c>
      <c r="B26" s="16">
        <v>2</v>
      </c>
      <c r="C26" s="20">
        <v>2</v>
      </c>
      <c r="D26" s="13" t="s">
        <v>24</v>
      </c>
      <c r="E26" s="14">
        <v>11542</v>
      </c>
      <c r="F26" s="15">
        <v>3800</v>
      </c>
      <c r="G26" s="16">
        <v>0.1208075027817517</v>
      </c>
    </row>
    <row r="27" spans="1:8" x14ac:dyDescent="0.25">
      <c r="A27" s="1" t="s">
        <v>4</v>
      </c>
      <c r="B27" s="1">
        <v>3</v>
      </c>
      <c r="C27" s="21">
        <v>3</v>
      </c>
      <c r="D27" s="2" t="s">
        <v>20</v>
      </c>
      <c r="E27" s="3">
        <v>11556</v>
      </c>
      <c r="F27" s="4">
        <v>3100</v>
      </c>
      <c r="G27" s="1">
        <v>0.17398136715680773</v>
      </c>
      <c r="H27">
        <f>(1484)*2</f>
        <v>2968</v>
      </c>
    </row>
    <row r="28" spans="1:8" x14ac:dyDescent="0.25">
      <c r="A28" s="1" t="s">
        <v>4</v>
      </c>
      <c r="B28" s="1">
        <v>3</v>
      </c>
      <c r="C28" s="21">
        <v>3</v>
      </c>
      <c r="D28" s="2" t="s">
        <v>31</v>
      </c>
      <c r="E28" s="3">
        <v>11557</v>
      </c>
      <c r="F28" s="4">
        <v>3100</v>
      </c>
      <c r="G28" s="1">
        <v>0.17398136715680773</v>
      </c>
      <c r="H28">
        <f>1750*2</f>
        <v>3500</v>
      </c>
    </row>
    <row r="29" spans="1:8" x14ac:dyDescent="0.25">
      <c r="A29" s="1" t="s">
        <v>4</v>
      </c>
      <c r="B29" s="1">
        <v>3</v>
      </c>
      <c r="C29" s="21">
        <v>3</v>
      </c>
      <c r="D29" s="2" t="s">
        <v>33</v>
      </c>
      <c r="E29" s="3">
        <v>11559</v>
      </c>
      <c r="F29" s="4">
        <v>2900</v>
      </c>
      <c r="G29" s="1">
        <v>0.16275676282411045</v>
      </c>
      <c r="H29">
        <f>2150*2</f>
        <v>4300</v>
      </c>
    </row>
    <row r="30" spans="1:8" ht="15.75" thickBot="1" x14ac:dyDescent="0.3">
      <c r="A30" s="1" t="s">
        <v>4</v>
      </c>
      <c r="B30" s="1">
        <v>3</v>
      </c>
      <c r="C30" s="21">
        <v>3</v>
      </c>
      <c r="D30" s="17" t="s">
        <v>32</v>
      </c>
      <c r="E30" s="3">
        <v>11558</v>
      </c>
      <c r="F30" s="4">
        <v>8718</v>
      </c>
      <c r="G30" s="1">
        <v>0.48928050286227409</v>
      </c>
      <c r="H30">
        <f>4940*2</f>
        <v>9880</v>
      </c>
    </row>
    <row r="31" spans="1:8" ht="15.75" thickTop="1" x14ac:dyDescent="0.25">
      <c r="A31" s="1" t="s">
        <v>4</v>
      </c>
      <c r="B31" s="1">
        <v>3</v>
      </c>
      <c r="C31" s="21">
        <v>3</v>
      </c>
      <c r="D31" s="2" t="s">
        <v>20</v>
      </c>
      <c r="E31" s="3">
        <v>11555</v>
      </c>
      <c r="F31" s="4"/>
      <c r="H31">
        <f>200*2</f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9009-83D1-417E-ADE7-FF83FFC9CA24}">
  <dimension ref="A1:K61"/>
  <sheetViews>
    <sheetView zoomScaleNormal="100" workbookViewId="0">
      <selection activeCell="E1" sqref="E1:E1048576"/>
    </sheetView>
  </sheetViews>
  <sheetFormatPr defaultRowHeight="15" x14ac:dyDescent="0.25"/>
  <cols>
    <col min="2" max="2" width="5.28515625" bestFit="1" customWidth="1"/>
    <col min="4" max="4" width="24.85546875" bestFit="1" customWidth="1"/>
    <col min="6" max="6" width="10.42578125" bestFit="1" customWidth="1"/>
    <col min="7" max="7" width="12.28515625" style="23" bestFit="1" customWidth="1"/>
    <col min="8" max="8" width="10.42578125" bestFit="1" customWidth="1"/>
  </cols>
  <sheetData>
    <row r="1" spans="1:11" x14ac:dyDescent="0.25">
      <c r="A1" t="s">
        <v>0</v>
      </c>
      <c r="B1" t="s">
        <v>1</v>
      </c>
      <c r="C1" t="s">
        <v>34</v>
      </c>
      <c r="D1" t="s">
        <v>35</v>
      </c>
      <c r="E1" t="s">
        <v>2</v>
      </c>
      <c r="F1" t="s">
        <v>49</v>
      </c>
      <c r="G1" s="23" t="s">
        <v>3</v>
      </c>
      <c r="H1" t="s">
        <v>49</v>
      </c>
    </row>
    <row r="2" spans="1:11" x14ac:dyDescent="0.25">
      <c r="A2" s="5" t="s">
        <v>4</v>
      </c>
      <c r="B2" s="5">
        <v>1</v>
      </c>
      <c r="C2" s="5">
        <v>0</v>
      </c>
      <c r="D2" s="5" t="s">
        <v>8</v>
      </c>
      <c r="E2" s="5">
        <v>11504</v>
      </c>
      <c r="F2" s="5">
        <v>36000</v>
      </c>
      <c r="G2" s="24">
        <v>0.2229433476182219</v>
      </c>
      <c r="H2">
        <f>18000*2</f>
        <v>36000</v>
      </c>
      <c r="I2" s="23">
        <f>H2/J$2</f>
        <v>0.2229433476182219</v>
      </c>
      <c r="J2">
        <f>SUM(H2:H4)</f>
        <v>161476</v>
      </c>
      <c r="K2">
        <f>ROUND(SUM(J:J),-3)</f>
        <v>346000</v>
      </c>
    </row>
    <row r="3" spans="1:11" x14ac:dyDescent="0.25">
      <c r="A3" s="5" t="s">
        <v>4</v>
      </c>
      <c r="B3" s="5">
        <v>2</v>
      </c>
      <c r="C3" s="5">
        <v>0</v>
      </c>
      <c r="D3" s="5" t="s">
        <v>7</v>
      </c>
      <c r="E3" s="5">
        <v>11548</v>
      </c>
      <c r="F3" s="5">
        <v>48944</v>
      </c>
      <c r="G3" s="24">
        <v>0.30310386682850704</v>
      </c>
      <c r="H3">
        <f>24472*2</f>
        <v>48944</v>
      </c>
      <c r="I3" s="23">
        <f t="shared" ref="I3:I4" si="0">H3/J$2</f>
        <v>0.30310386682850704</v>
      </c>
    </row>
    <row r="4" spans="1:11" x14ac:dyDescent="0.25">
      <c r="A4" s="5" t="s">
        <v>4</v>
      </c>
      <c r="B4" s="5">
        <v>3</v>
      </c>
      <c r="C4" s="5">
        <v>0</v>
      </c>
      <c r="D4" s="5" t="s">
        <v>6</v>
      </c>
      <c r="E4" s="5">
        <v>11560</v>
      </c>
      <c r="F4" s="5">
        <v>76532</v>
      </c>
      <c r="G4" s="24">
        <v>0.47395278555327108</v>
      </c>
      <c r="H4">
        <f>38266*2</f>
        <v>76532</v>
      </c>
      <c r="I4" s="23">
        <f t="shared" si="0"/>
        <v>0.47395278555327108</v>
      </c>
    </row>
    <row r="5" spans="1:11" x14ac:dyDescent="0.25">
      <c r="A5" s="16" t="s">
        <v>4</v>
      </c>
      <c r="B5" s="16">
        <v>1</v>
      </c>
      <c r="C5" s="16">
        <v>1</v>
      </c>
      <c r="D5" s="16" t="s">
        <v>20</v>
      </c>
      <c r="E5" s="16">
        <v>11533</v>
      </c>
      <c r="F5" s="16">
        <v>2394</v>
      </c>
      <c r="G5" s="25">
        <v>2.0188391253383706E-2</v>
      </c>
      <c r="H5">
        <f>1197*2</f>
        <v>2394</v>
      </c>
      <c r="I5" s="23">
        <f>H5/J$5</f>
        <v>2.0188391253383706E-2</v>
      </c>
      <c r="J5">
        <f>SUM(H5:H35)</f>
        <v>118583</v>
      </c>
    </row>
    <row r="6" spans="1:11" x14ac:dyDescent="0.25">
      <c r="A6" s="16" t="s">
        <v>4</v>
      </c>
      <c r="B6" s="16">
        <v>1</v>
      </c>
      <c r="C6" s="16">
        <v>1</v>
      </c>
      <c r="D6" s="16" t="s">
        <v>37</v>
      </c>
      <c r="E6" s="16">
        <v>11532</v>
      </c>
      <c r="F6" s="16">
        <v>850</v>
      </c>
      <c r="G6" s="25">
        <v>7.1679751735071635E-3</v>
      </c>
      <c r="H6">
        <f>850</f>
        <v>850</v>
      </c>
      <c r="I6" s="23">
        <f t="shared" ref="I6:I35" si="1">H6/J$5</f>
        <v>7.1679751735071635E-3</v>
      </c>
    </row>
    <row r="7" spans="1:11" x14ac:dyDescent="0.25">
      <c r="A7" s="16" t="s">
        <v>4</v>
      </c>
      <c r="B7" s="16">
        <v>1</v>
      </c>
      <c r="C7" s="16">
        <v>1</v>
      </c>
      <c r="D7" s="16" t="s">
        <v>19</v>
      </c>
      <c r="E7" s="16">
        <v>11531</v>
      </c>
      <c r="F7" s="16">
        <v>1750</v>
      </c>
      <c r="G7" s="25">
        <v>1.4757595945455925E-2</v>
      </c>
      <c r="H7">
        <f>875*2</f>
        <v>1750</v>
      </c>
      <c r="I7" s="23">
        <f t="shared" si="1"/>
        <v>1.4757595945455925E-2</v>
      </c>
    </row>
    <row r="8" spans="1:11" x14ac:dyDescent="0.25">
      <c r="A8" s="16" t="s">
        <v>4</v>
      </c>
      <c r="B8" s="16">
        <v>1</v>
      </c>
      <c r="C8" s="16">
        <v>1</v>
      </c>
      <c r="D8" s="16" t="s">
        <v>37</v>
      </c>
      <c r="E8" s="16">
        <v>11530</v>
      </c>
      <c r="F8" s="16">
        <v>600</v>
      </c>
      <c r="G8" s="25">
        <v>5.0597471812991743E-3</v>
      </c>
      <c r="H8">
        <v>600</v>
      </c>
      <c r="I8" s="23">
        <f t="shared" si="1"/>
        <v>5.0597471812991743E-3</v>
      </c>
    </row>
    <row r="9" spans="1:11" x14ac:dyDescent="0.25">
      <c r="A9" s="16" t="s">
        <v>4</v>
      </c>
      <c r="B9" s="16">
        <v>1</v>
      </c>
      <c r="C9" s="16">
        <v>1</v>
      </c>
      <c r="D9" s="16" t="s">
        <v>18</v>
      </c>
      <c r="E9" s="16">
        <v>11529</v>
      </c>
      <c r="F9" s="16">
        <v>15628</v>
      </c>
      <c r="G9" s="25">
        <v>0.13178954824890582</v>
      </c>
      <c r="H9">
        <f>7814*2</f>
        <v>15628</v>
      </c>
      <c r="I9" s="23">
        <f t="shared" si="1"/>
        <v>0.13178954824890582</v>
      </c>
    </row>
    <row r="10" spans="1:11" x14ac:dyDescent="0.25">
      <c r="A10" s="16" t="s">
        <v>4</v>
      </c>
      <c r="B10" s="16">
        <v>1</v>
      </c>
      <c r="C10" s="16">
        <v>1</v>
      </c>
      <c r="D10" s="16" t="s">
        <v>16</v>
      </c>
      <c r="E10" s="16">
        <v>11527</v>
      </c>
      <c r="F10" s="16">
        <v>2964</v>
      </c>
      <c r="G10" s="25">
        <v>2.4995151075617922E-2</v>
      </c>
      <c r="H10">
        <f>1482*2</f>
        <v>2964</v>
      </c>
      <c r="I10" s="23">
        <f t="shared" si="1"/>
        <v>2.4995151075617922E-2</v>
      </c>
    </row>
    <row r="11" spans="1:11" x14ac:dyDescent="0.25">
      <c r="A11" s="16" t="s">
        <v>4</v>
      </c>
      <c r="B11" s="16">
        <v>1</v>
      </c>
      <c r="C11" s="16">
        <v>1</v>
      </c>
      <c r="D11" s="16" t="s">
        <v>38</v>
      </c>
      <c r="E11" s="16">
        <v>11526</v>
      </c>
      <c r="F11" s="16">
        <v>1600</v>
      </c>
      <c r="G11" s="25">
        <v>1.3492659150131132E-2</v>
      </c>
      <c r="H11">
        <v>1600</v>
      </c>
      <c r="I11" s="23">
        <f t="shared" si="1"/>
        <v>1.3492659150131132E-2</v>
      </c>
    </row>
    <row r="12" spans="1:11" x14ac:dyDescent="0.25">
      <c r="A12" s="16" t="s">
        <v>4</v>
      </c>
      <c r="B12" s="16">
        <v>1</v>
      </c>
      <c r="C12" s="16">
        <v>1</v>
      </c>
      <c r="D12" s="16" t="s">
        <v>39</v>
      </c>
      <c r="E12" s="16">
        <v>11525</v>
      </c>
      <c r="F12" s="16">
        <v>4100</v>
      </c>
      <c r="G12" s="25">
        <v>3.4574939072211028E-2</v>
      </c>
      <c r="H12">
        <v>4100</v>
      </c>
      <c r="I12" s="23">
        <f t="shared" si="1"/>
        <v>3.4574939072211028E-2</v>
      </c>
    </row>
    <row r="13" spans="1:11" x14ac:dyDescent="0.25">
      <c r="A13" s="16" t="s">
        <v>4</v>
      </c>
      <c r="B13" s="16">
        <v>1</v>
      </c>
      <c r="C13" s="16">
        <v>1</v>
      </c>
      <c r="D13" s="16" t="s">
        <v>37</v>
      </c>
      <c r="E13" s="16">
        <v>11524</v>
      </c>
      <c r="F13" s="16">
        <v>500</v>
      </c>
      <c r="G13" s="25">
        <v>4.2164559844159785E-3</v>
      </c>
      <c r="H13">
        <v>500</v>
      </c>
      <c r="I13" s="23">
        <f t="shared" si="1"/>
        <v>4.2164559844159785E-3</v>
      </c>
    </row>
    <row r="14" spans="1:11" x14ac:dyDescent="0.25">
      <c r="A14" s="16" t="s">
        <v>4</v>
      </c>
      <c r="B14" s="16">
        <v>1</v>
      </c>
      <c r="C14" s="16">
        <v>1</v>
      </c>
      <c r="D14" s="16" t="s">
        <v>37</v>
      </c>
      <c r="E14" s="16">
        <v>11523</v>
      </c>
      <c r="F14" s="16">
        <v>600</v>
      </c>
      <c r="G14" s="25">
        <v>5.0597471812991743E-3</v>
      </c>
      <c r="H14">
        <v>600</v>
      </c>
      <c r="I14" s="23">
        <f t="shared" si="1"/>
        <v>5.0597471812991743E-3</v>
      </c>
    </row>
    <row r="15" spans="1:11" x14ac:dyDescent="0.25">
      <c r="A15" s="16" t="s">
        <v>4</v>
      </c>
      <c r="B15" s="16">
        <v>1</v>
      </c>
      <c r="C15" s="16">
        <v>1</v>
      </c>
      <c r="D15" s="16" t="s">
        <v>37</v>
      </c>
      <c r="E15" s="16">
        <v>11522</v>
      </c>
      <c r="F15" s="16">
        <v>700</v>
      </c>
      <c r="G15" s="25">
        <v>5.9030383781823702E-3</v>
      </c>
      <c r="H15">
        <v>700</v>
      </c>
      <c r="I15" s="23">
        <f t="shared" si="1"/>
        <v>5.9030383781823702E-3</v>
      </c>
    </row>
    <row r="16" spans="1:11" x14ac:dyDescent="0.25">
      <c r="A16" s="16" t="s">
        <v>4</v>
      </c>
      <c r="B16" s="16">
        <v>1</v>
      </c>
      <c r="C16" s="16">
        <v>1</v>
      </c>
      <c r="D16" s="16" t="s">
        <v>37</v>
      </c>
      <c r="E16" s="16">
        <v>11521</v>
      </c>
      <c r="F16" s="16">
        <v>600</v>
      </c>
      <c r="G16" s="25">
        <v>5.0597471812991743E-3</v>
      </c>
      <c r="H16">
        <v>600</v>
      </c>
      <c r="I16" s="23">
        <f t="shared" si="1"/>
        <v>5.0597471812991743E-3</v>
      </c>
    </row>
    <row r="17" spans="1:9" x14ac:dyDescent="0.25">
      <c r="A17" s="16" t="s">
        <v>4</v>
      </c>
      <c r="B17" s="16">
        <v>1</v>
      </c>
      <c r="C17" s="16">
        <v>1</v>
      </c>
      <c r="D17" s="16" t="s">
        <v>15</v>
      </c>
      <c r="E17" s="16">
        <v>11520</v>
      </c>
      <c r="F17" s="16">
        <v>1700</v>
      </c>
      <c r="G17" s="25">
        <v>1.4335950347014327E-2</v>
      </c>
      <c r="H17">
        <v>1700</v>
      </c>
      <c r="I17" s="23">
        <f t="shared" si="1"/>
        <v>1.4335950347014327E-2</v>
      </c>
    </row>
    <row r="18" spans="1:9" x14ac:dyDescent="0.25">
      <c r="A18" s="16" t="s">
        <v>4</v>
      </c>
      <c r="B18" s="16">
        <v>1</v>
      </c>
      <c r="C18" s="16">
        <v>1</v>
      </c>
      <c r="D18" s="16" t="s">
        <v>37</v>
      </c>
      <c r="E18" s="16">
        <v>11519</v>
      </c>
      <c r="F18" s="16">
        <v>1600</v>
      </c>
      <c r="G18" s="25">
        <v>1.3492659150131132E-2</v>
      </c>
      <c r="H18">
        <v>1600</v>
      </c>
      <c r="I18" s="23">
        <f t="shared" si="1"/>
        <v>1.3492659150131132E-2</v>
      </c>
    </row>
    <row r="19" spans="1:9" x14ac:dyDescent="0.25">
      <c r="A19" s="16" t="s">
        <v>4</v>
      </c>
      <c r="B19" s="16">
        <v>1</v>
      </c>
      <c r="C19" s="16">
        <v>1</v>
      </c>
      <c r="D19" s="16" t="s">
        <v>37</v>
      </c>
      <c r="E19" s="16">
        <v>11518</v>
      </c>
      <c r="F19" s="16">
        <v>2500</v>
      </c>
      <c r="G19" s="25">
        <v>2.1082279922079894E-2</v>
      </c>
      <c r="H19">
        <v>2500</v>
      </c>
      <c r="I19" s="23">
        <f t="shared" si="1"/>
        <v>2.1082279922079894E-2</v>
      </c>
    </row>
    <row r="20" spans="1:9" x14ac:dyDescent="0.25">
      <c r="A20" s="16" t="s">
        <v>4</v>
      </c>
      <c r="B20" s="16">
        <v>1</v>
      </c>
      <c r="C20" s="16">
        <v>1</v>
      </c>
      <c r="D20" s="16" t="s">
        <v>37</v>
      </c>
      <c r="E20" s="16">
        <v>11517</v>
      </c>
      <c r="F20" s="16">
        <v>525</v>
      </c>
      <c r="G20" s="25">
        <v>4.4272787836367776E-3</v>
      </c>
      <c r="H20">
        <v>525</v>
      </c>
      <c r="I20" s="23">
        <f t="shared" si="1"/>
        <v>4.4272787836367776E-3</v>
      </c>
    </row>
    <row r="21" spans="1:9" x14ac:dyDescent="0.25">
      <c r="A21" s="16" t="s">
        <v>4</v>
      </c>
      <c r="B21" s="16">
        <v>1</v>
      </c>
      <c r="C21" s="16">
        <v>1</v>
      </c>
      <c r="D21" s="16" t="s">
        <v>14</v>
      </c>
      <c r="E21" s="16">
        <v>11516</v>
      </c>
      <c r="F21" s="16">
        <v>5160</v>
      </c>
      <c r="G21" s="25">
        <v>4.3513825759172897E-2</v>
      </c>
      <c r="H21">
        <f>2580*2</f>
        <v>5160</v>
      </c>
      <c r="I21" s="23">
        <f t="shared" si="1"/>
        <v>4.3513825759172897E-2</v>
      </c>
    </row>
    <row r="22" spans="1:9" x14ac:dyDescent="0.25">
      <c r="A22" s="16" t="s">
        <v>4</v>
      </c>
      <c r="B22" s="16">
        <v>1</v>
      </c>
      <c r="C22" s="16">
        <v>1</v>
      </c>
      <c r="D22" s="16" t="s">
        <v>37</v>
      </c>
      <c r="E22" s="16">
        <v>11515</v>
      </c>
      <c r="F22" s="16">
        <v>2800</v>
      </c>
      <c r="G22" s="25">
        <v>2.3612153512729481E-2</v>
      </c>
      <c r="H22">
        <v>2800</v>
      </c>
      <c r="I22" s="23">
        <f t="shared" si="1"/>
        <v>2.3612153512729481E-2</v>
      </c>
    </row>
    <row r="23" spans="1:9" x14ac:dyDescent="0.25">
      <c r="A23" s="16" t="s">
        <v>4</v>
      </c>
      <c r="B23" s="16">
        <v>1</v>
      </c>
      <c r="C23" s="16">
        <v>1</v>
      </c>
      <c r="D23" s="16" t="s">
        <v>37</v>
      </c>
      <c r="E23" s="16">
        <v>11514</v>
      </c>
      <c r="F23" s="16">
        <v>4800</v>
      </c>
      <c r="G23" s="25">
        <v>4.0477977450393395E-2</v>
      </c>
      <c r="H23">
        <v>4800</v>
      </c>
      <c r="I23" s="23">
        <f t="shared" si="1"/>
        <v>4.0477977450393395E-2</v>
      </c>
    </row>
    <row r="24" spans="1:9" x14ac:dyDescent="0.25">
      <c r="A24" s="16" t="s">
        <v>4</v>
      </c>
      <c r="B24" s="16">
        <v>1</v>
      </c>
      <c r="C24" s="16">
        <v>1</v>
      </c>
      <c r="D24" s="16" t="s">
        <v>12</v>
      </c>
      <c r="E24" s="16">
        <v>11513</v>
      </c>
      <c r="F24" s="16">
        <v>3300</v>
      </c>
      <c r="G24" s="25">
        <v>2.7828609497145461E-2</v>
      </c>
      <c r="H24">
        <f>1650*2</f>
        <v>3300</v>
      </c>
      <c r="I24" s="23">
        <f t="shared" si="1"/>
        <v>2.7828609497145461E-2</v>
      </c>
    </row>
    <row r="25" spans="1:9" x14ac:dyDescent="0.25">
      <c r="A25" s="16" t="s">
        <v>4</v>
      </c>
      <c r="B25" s="16">
        <v>1</v>
      </c>
      <c r="C25" s="16">
        <v>1</v>
      </c>
      <c r="D25" s="16" t="s">
        <v>37</v>
      </c>
      <c r="E25" s="16">
        <v>11512</v>
      </c>
      <c r="F25" s="16">
        <v>400</v>
      </c>
      <c r="G25" s="25">
        <v>3.373164787532783E-3</v>
      </c>
      <c r="H25">
        <v>400</v>
      </c>
      <c r="I25" s="23">
        <f t="shared" si="1"/>
        <v>3.373164787532783E-3</v>
      </c>
    </row>
    <row r="26" spans="1:9" x14ac:dyDescent="0.25">
      <c r="A26" s="16" t="s">
        <v>4</v>
      </c>
      <c r="B26" s="16">
        <v>1</v>
      </c>
      <c r="C26" s="16">
        <v>1</v>
      </c>
      <c r="D26" s="16" t="s">
        <v>37</v>
      </c>
      <c r="E26" s="16">
        <v>11511</v>
      </c>
      <c r="F26" s="16">
        <v>3000</v>
      </c>
      <c r="G26" s="25">
        <v>2.5298735906495871E-2</v>
      </c>
      <c r="H26">
        <v>3000</v>
      </c>
      <c r="I26" s="23">
        <f t="shared" si="1"/>
        <v>2.5298735906495871E-2</v>
      </c>
    </row>
    <row r="27" spans="1:9" x14ac:dyDescent="0.25">
      <c r="A27" s="16" t="s">
        <v>4</v>
      </c>
      <c r="B27" s="16">
        <v>1</v>
      </c>
      <c r="C27" s="16">
        <v>1</v>
      </c>
      <c r="D27" s="16" t="s">
        <v>11</v>
      </c>
      <c r="E27" s="16">
        <v>11510</v>
      </c>
      <c r="F27" s="16">
        <v>1100</v>
      </c>
      <c r="G27" s="25">
        <v>9.2762031657151536E-3</v>
      </c>
      <c r="H27">
        <v>1100</v>
      </c>
      <c r="I27" s="23">
        <f t="shared" si="1"/>
        <v>9.2762031657151536E-3</v>
      </c>
    </row>
    <row r="28" spans="1:9" x14ac:dyDescent="0.25">
      <c r="A28" s="16" t="s">
        <v>4</v>
      </c>
      <c r="B28" s="16">
        <v>1</v>
      </c>
      <c r="C28" s="16">
        <v>1</v>
      </c>
      <c r="D28" s="16" t="s">
        <v>10</v>
      </c>
      <c r="E28" s="16">
        <v>11509</v>
      </c>
      <c r="F28" s="16">
        <v>1500</v>
      </c>
      <c r="G28" s="25">
        <v>1.2649367953247935E-2</v>
      </c>
      <c r="H28">
        <f>750*2</f>
        <v>1500</v>
      </c>
      <c r="I28" s="23">
        <f t="shared" si="1"/>
        <v>1.2649367953247935E-2</v>
      </c>
    </row>
    <row r="29" spans="1:9" x14ac:dyDescent="0.25">
      <c r="A29" s="16" t="s">
        <v>4</v>
      </c>
      <c r="B29" s="16">
        <v>1</v>
      </c>
      <c r="C29" s="16">
        <v>1</v>
      </c>
      <c r="D29" s="16" t="s">
        <v>10</v>
      </c>
      <c r="E29" s="16">
        <v>11508</v>
      </c>
      <c r="F29" s="16">
        <v>12300</v>
      </c>
      <c r="G29" s="25">
        <v>0.10372481721663307</v>
      </c>
      <c r="H29">
        <f>6150*2</f>
        <v>12300</v>
      </c>
      <c r="I29" s="23">
        <f t="shared" si="1"/>
        <v>0.10372481721663307</v>
      </c>
    </row>
    <row r="30" spans="1:9" x14ac:dyDescent="0.25">
      <c r="A30" s="16" t="s">
        <v>4</v>
      </c>
      <c r="B30" s="16">
        <v>1</v>
      </c>
      <c r="C30" s="16">
        <v>1</v>
      </c>
      <c r="D30" s="16" t="s">
        <v>37</v>
      </c>
      <c r="E30" s="16">
        <v>11507</v>
      </c>
      <c r="F30" s="16">
        <v>5852</v>
      </c>
      <c r="G30" s="25">
        <v>4.9349400841604614E-2</v>
      </c>
      <c r="H30">
        <f>2926*2</f>
        <v>5852</v>
      </c>
      <c r="I30" s="23">
        <f t="shared" si="1"/>
        <v>4.9349400841604614E-2</v>
      </c>
    </row>
    <row r="31" spans="1:9" x14ac:dyDescent="0.25">
      <c r="A31" s="16" t="s">
        <v>4</v>
      </c>
      <c r="B31" s="16">
        <v>1</v>
      </c>
      <c r="C31" s="16">
        <v>1</v>
      </c>
      <c r="D31" s="16" t="s">
        <v>37</v>
      </c>
      <c r="E31" s="16">
        <v>11506</v>
      </c>
      <c r="F31" s="16">
        <v>250</v>
      </c>
      <c r="G31" s="25">
        <v>2.1082279922079892E-3</v>
      </c>
      <c r="H31">
        <v>250</v>
      </c>
      <c r="I31" s="23">
        <f t="shared" si="1"/>
        <v>2.1082279922079892E-3</v>
      </c>
    </row>
    <row r="32" spans="1:9" x14ac:dyDescent="0.25">
      <c r="A32" s="16" t="s">
        <v>4</v>
      </c>
      <c r="B32" s="16">
        <v>1</v>
      </c>
      <c r="C32" s="16">
        <v>1</v>
      </c>
      <c r="D32" s="16" t="s">
        <v>37</v>
      </c>
      <c r="E32" s="16">
        <v>11505</v>
      </c>
      <c r="F32" s="16">
        <v>4400</v>
      </c>
      <c r="G32" s="25">
        <v>3.7104812662860615E-2</v>
      </c>
      <c r="H32">
        <v>4400</v>
      </c>
      <c r="I32" s="23">
        <f t="shared" si="1"/>
        <v>3.7104812662860615E-2</v>
      </c>
    </row>
    <row r="33" spans="1:10" x14ac:dyDescent="0.25">
      <c r="A33" s="16" t="s">
        <v>4</v>
      </c>
      <c r="B33" s="16">
        <v>1</v>
      </c>
      <c r="C33" s="16">
        <v>1</v>
      </c>
      <c r="D33" s="16" t="s">
        <v>9</v>
      </c>
      <c r="E33" s="16">
        <v>11503</v>
      </c>
      <c r="F33" s="16">
        <v>6594</v>
      </c>
      <c r="G33" s="25">
        <v>5.5606621522477924E-2</v>
      </c>
      <c r="H33">
        <f>3297*2</f>
        <v>6594</v>
      </c>
      <c r="I33" s="23">
        <f t="shared" si="1"/>
        <v>5.5606621522477924E-2</v>
      </c>
    </row>
    <row r="34" spans="1:10" x14ac:dyDescent="0.25">
      <c r="A34" s="16" t="s">
        <v>4</v>
      </c>
      <c r="B34" s="16">
        <v>1</v>
      </c>
      <c r="C34" s="16">
        <v>1</v>
      </c>
      <c r="D34" s="16" t="s">
        <v>40</v>
      </c>
      <c r="E34" s="16">
        <v>11502</v>
      </c>
      <c r="F34" s="16">
        <v>14516</v>
      </c>
      <c r="G34" s="25">
        <v>0.12241215013956469</v>
      </c>
      <c r="H34">
        <f>7258*2</f>
        <v>14516</v>
      </c>
      <c r="I34" s="23">
        <f t="shared" si="1"/>
        <v>0.12241215013956469</v>
      </c>
    </row>
    <row r="35" spans="1:10" x14ac:dyDescent="0.25">
      <c r="A35" s="16" t="s">
        <v>4</v>
      </c>
      <c r="B35" s="16">
        <v>1</v>
      </c>
      <c r="C35" s="16">
        <v>1</v>
      </c>
      <c r="D35" s="16" t="s">
        <v>41</v>
      </c>
      <c r="E35" s="16">
        <v>11501</v>
      </c>
      <c r="F35" s="16">
        <v>14000</v>
      </c>
      <c r="G35" s="25">
        <v>0.1180607675636474</v>
      </c>
      <c r="H35">
        <f>7000*2</f>
        <v>14000</v>
      </c>
      <c r="I35" s="23">
        <f t="shared" si="1"/>
        <v>0.1180607675636474</v>
      </c>
    </row>
    <row r="36" spans="1:10" x14ac:dyDescent="0.25">
      <c r="A36" s="12" t="s">
        <v>4</v>
      </c>
      <c r="B36" s="12">
        <v>2</v>
      </c>
      <c r="C36" s="12">
        <v>2</v>
      </c>
      <c r="D36" s="12" t="s">
        <v>37</v>
      </c>
      <c r="E36" s="12">
        <v>11554</v>
      </c>
      <c r="F36" s="12">
        <v>400</v>
      </c>
      <c r="G36" s="26">
        <v>8.8526912181303118E-3</v>
      </c>
      <c r="H36">
        <f>200*2</f>
        <v>400</v>
      </c>
      <c r="I36" s="23">
        <f>H36/J$36</f>
        <v>8.8526912181303118E-3</v>
      </c>
      <c r="J36">
        <f>SUM(H36:H56)</f>
        <v>45184</v>
      </c>
    </row>
    <row r="37" spans="1:10" x14ac:dyDescent="0.25">
      <c r="A37" s="12" t="s">
        <v>4</v>
      </c>
      <c r="B37" s="12">
        <v>2</v>
      </c>
      <c r="C37" s="12">
        <v>2</v>
      </c>
      <c r="D37" s="12" t="s">
        <v>42</v>
      </c>
      <c r="E37" s="12">
        <v>11553</v>
      </c>
      <c r="F37" s="12">
        <v>950</v>
      </c>
      <c r="G37" s="26">
        <v>2.1025141643059492E-2</v>
      </c>
      <c r="H37">
        <f>475*2</f>
        <v>950</v>
      </c>
      <c r="I37" s="23">
        <f t="shared" ref="I37:I56" si="2">H37/J$36</f>
        <v>2.1025141643059492E-2</v>
      </c>
    </row>
    <row r="38" spans="1:10" x14ac:dyDescent="0.25">
      <c r="A38" s="12" t="s">
        <v>4</v>
      </c>
      <c r="B38" s="12">
        <v>2</v>
      </c>
      <c r="C38" s="12">
        <v>2</v>
      </c>
      <c r="D38" s="12" t="s">
        <v>37</v>
      </c>
      <c r="E38" s="12">
        <v>11552</v>
      </c>
      <c r="F38" s="12">
        <v>1200</v>
      </c>
      <c r="G38" s="26">
        <v>2.6558073654390935E-2</v>
      </c>
      <c r="H38">
        <f>1200</f>
        <v>1200</v>
      </c>
      <c r="I38" s="23">
        <f t="shared" si="2"/>
        <v>2.6558073654390935E-2</v>
      </c>
    </row>
    <row r="39" spans="1:10" x14ac:dyDescent="0.25">
      <c r="A39" s="12" t="s">
        <v>4</v>
      </c>
      <c r="B39" s="12">
        <v>2</v>
      </c>
      <c r="C39" s="12">
        <v>2</v>
      </c>
      <c r="D39" s="12" t="s">
        <v>37</v>
      </c>
      <c r="E39" s="12">
        <v>11551</v>
      </c>
      <c r="F39" s="12">
        <v>1000</v>
      </c>
      <c r="G39" s="26">
        <v>2.2131728045325778E-2</v>
      </c>
      <c r="H39">
        <v>1000</v>
      </c>
      <c r="I39" s="23">
        <f t="shared" si="2"/>
        <v>2.2131728045325778E-2</v>
      </c>
    </row>
    <row r="40" spans="1:10" x14ac:dyDescent="0.25">
      <c r="A40" s="12" t="s">
        <v>4</v>
      </c>
      <c r="B40" s="12">
        <v>2</v>
      </c>
      <c r="C40" s="12">
        <v>2</v>
      </c>
      <c r="D40" s="12" t="s">
        <v>43</v>
      </c>
      <c r="E40" s="12">
        <v>11550</v>
      </c>
      <c r="F40" s="12">
        <v>1400</v>
      </c>
      <c r="G40" s="26">
        <v>3.0984419263456089E-2</v>
      </c>
      <c r="H40">
        <v>1400</v>
      </c>
      <c r="I40" s="23">
        <f t="shared" si="2"/>
        <v>3.0984419263456089E-2</v>
      </c>
    </row>
    <row r="41" spans="1:10" x14ac:dyDescent="0.25">
      <c r="A41" s="12" t="s">
        <v>4</v>
      </c>
      <c r="B41" s="12">
        <v>2</v>
      </c>
      <c r="C41" s="12">
        <v>2</v>
      </c>
      <c r="D41" s="12" t="s">
        <v>43</v>
      </c>
      <c r="E41" s="12">
        <v>11549</v>
      </c>
      <c r="F41" s="12">
        <v>300</v>
      </c>
      <c r="G41" s="26">
        <v>6.6395184135977338E-3</v>
      </c>
      <c r="H41">
        <v>300</v>
      </c>
      <c r="I41" s="23">
        <f t="shared" si="2"/>
        <v>6.6395184135977338E-3</v>
      </c>
    </row>
    <row r="42" spans="1:10" x14ac:dyDescent="0.25">
      <c r="A42" s="12" t="s">
        <v>4</v>
      </c>
      <c r="B42" s="12">
        <v>2</v>
      </c>
      <c r="C42" s="12">
        <v>2</v>
      </c>
      <c r="D42" s="12" t="s">
        <v>44</v>
      </c>
      <c r="E42" s="12">
        <v>11547</v>
      </c>
      <c r="F42" s="12">
        <v>3600</v>
      </c>
      <c r="G42" s="26">
        <v>7.9674220963172809E-2</v>
      </c>
      <c r="H42">
        <v>3600</v>
      </c>
      <c r="I42" s="23">
        <f t="shared" si="2"/>
        <v>7.9674220963172809E-2</v>
      </c>
    </row>
    <row r="43" spans="1:10" x14ac:dyDescent="0.25">
      <c r="A43" s="12" t="s">
        <v>4</v>
      </c>
      <c r="B43" s="12">
        <v>2</v>
      </c>
      <c r="C43" s="12">
        <v>2</v>
      </c>
      <c r="D43" s="12" t="s">
        <v>45</v>
      </c>
      <c r="E43" s="12">
        <v>11546</v>
      </c>
      <c r="F43" s="12">
        <v>1000</v>
      </c>
      <c r="G43" s="26">
        <v>2.2131728045325778E-2</v>
      </c>
      <c r="H43">
        <v>1000</v>
      </c>
      <c r="I43" s="23">
        <f t="shared" si="2"/>
        <v>2.2131728045325778E-2</v>
      </c>
    </row>
    <row r="44" spans="1:10" x14ac:dyDescent="0.25">
      <c r="A44" s="12" t="s">
        <v>4</v>
      </c>
      <c r="B44" s="12">
        <v>2</v>
      </c>
      <c r="C44" s="12">
        <v>2</v>
      </c>
      <c r="D44" s="12" t="s">
        <v>37</v>
      </c>
      <c r="E44" s="12">
        <v>11545</v>
      </c>
      <c r="F44" s="12">
        <v>400</v>
      </c>
      <c r="G44" s="26">
        <v>8.8526912181303118E-3</v>
      </c>
      <c r="H44">
        <v>400</v>
      </c>
      <c r="I44" s="23">
        <f t="shared" si="2"/>
        <v>8.8526912181303118E-3</v>
      </c>
    </row>
    <row r="45" spans="1:10" x14ac:dyDescent="0.25">
      <c r="A45" s="12" t="s">
        <v>4</v>
      </c>
      <c r="B45" s="12">
        <v>2</v>
      </c>
      <c r="C45" s="12">
        <v>2</v>
      </c>
      <c r="D45" s="12" t="s">
        <v>25</v>
      </c>
      <c r="E45" s="12">
        <v>11544</v>
      </c>
      <c r="F45" s="12">
        <v>1250</v>
      </c>
      <c r="G45" s="26">
        <v>2.7664660056657225E-2</v>
      </c>
      <c r="H45">
        <v>1250</v>
      </c>
      <c r="I45" s="23">
        <f t="shared" si="2"/>
        <v>2.7664660056657225E-2</v>
      </c>
    </row>
    <row r="46" spans="1:10" x14ac:dyDescent="0.25">
      <c r="A46" s="12" t="s">
        <v>4</v>
      </c>
      <c r="B46" s="12">
        <v>2</v>
      </c>
      <c r="C46" s="12">
        <v>2</v>
      </c>
      <c r="D46" s="12" t="s">
        <v>46</v>
      </c>
      <c r="E46" s="12">
        <v>11543</v>
      </c>
      <c r="F46" s="12">
        <v>2000</v>
      </c>
      <c r="G46" s="26">
        <v>4.4263456090651555E-2</v>
      </c>
      <c r="H46">
        <v>2000</v>
      </c>
      <c r="I46" s="23">
        <f t="shared" si="2"/>
        <v>4.4263456090651555E-2</v>
      </c>
    </row>
    <row r="47" spans="1:10" x14ac:dyDescent="0.25">
      <c r="A47" s="12" t="s">
        <v>4</v>
      </c>
      <c r="B47" s="12">
        <v>2</v>
      </c>
      <c r="C47" s="12">
        <v>2</v>
      </c>
      <c r="D47" s="12" t="s">
        <v>24</v>
      </c>
      <c r="E47" s="12">
        <v>11542</v>
      </c>
      <c r="F47" s="12">
        <v>4300</v>
      </c>
      <c r="G47" s="26">
        <v>9.5166430594900847E-2</v>
      </c>
      <c r="H47">
        <f>2150*2</f>
        <v>4300</v>
      </c>
      <c r="I47" s="23">
        <f t="shared" si="2"/>
        <v>9.5166430594900847E-2</v>
      </c>
    </row>
    <row r="48" spans="1:10" x14ac:dyDescent="0.25">
      <c r="A48" s="12" t="s">
        <v>4</v>
      </c>
      <c r="B48" s="12">
        <v>2</v>
      </c>
      <c r="C48" s="12">
        <v>2</v>
      </c>
      <c r="D48" s="12" t="s">
        <v>37</v>
      </c>
      <c r="E48" s="12">
        <v>11541</v>
      </c>
      <c r="F48" s="12">
        <v>1600</v>
      </c>
      <c r="G48" s="26">
        <v>3.5410764872521247E-2</v>
      </c>
      <c r="H48">
        <v>1600</v>
      </c>
      <c r="I48" s="23">
        <f t="shared" si="2"/>
        <v>3.5410764872521247E-2</v>
      </c>
    </row>
    <row r="49" spans="1:10" x14ac:dyDescent="0.25">
      <c r="A49" s="12" t="s">
        <v>4</v>
      </c>
      <c r="B49" s="12">
        <v>2</v>
      </c>
      <c r="C49" s="12">
        <v>2</v>
      </c>
      <c r="D49" s="12" t="s">
        <v>23</v>
      </c>
      <c r="E49" s="12">
        <v>11540</v>
      </c>
      <c r="F49" s="12">
        <v>11900</v>
      </c>
      <c r="G49" s="26">
        <v>0.26336756373937675</v>
      </c>
      <c r="H49">
        <f>5950*2</f>
        <v>11900</v>
      </c>
      <c r="I49" s="23">
        <f t="shared" si="2"/>
        <v>0.26336756373937675</v>
      </c>
    </row>
    <row r="50" spans="1:10" x14ac:dyDescent="0.25">
      <c r="A50" s="12" t="s">
        <v>4</v>
      </c>
      <c r="B50" s="12">
        <v>2</v>
      </c>
      <c r="C50" s="12">
        <v>2</v>
      </c>
      <c r="D50" s="12" t="s">
        <v>37</v>
      </c>
      <c r="E50" s="12">
        <v>11539</v>
      </c>
      <c r="F50" s="12">
        <v>1000</v>
      </c>
      <c r="G50" s="26">
        <v>2.2131728045325778E-2</v>
      </c>
      <c r="H50">
        <v>1000</v>
      </c>
      <c r="I50" s="23">
        <f t="shared" si="2"/>
        <v>2.2131728045325778E-2</v>
      </c>
    </row>
    <row r="51" spans="1:10" x14ac:dyDescent="0.25">
      <c r="A51" s="12" t="s">
        <v>4</v>
      </c>
      <c r="B51" s="12">
        <v>2</v>
      </c>
      <c r="C51" s="12">
        <v>2</v>
      </c>
      <c r="D51" s="12" t="s">
        <v>22</v>
      </c>
      <c r="E51" s="12">
        <v>11538</v>
      </c>
      <c r="F51" s="12">
        <v>6400</v>
      </c>
      <c r="G51" s="26">
        <v>0.14164305949008499</v>
      </c>
      <c r="H51">
        <f>3200*2</f>
        <v>6400</v>
      </c>
      <c r="I51" s="23">
        <f t="shared" si="2"/>
        <v>0.14164305949008499</v>
      </c>
    </row>
    <row r="52" spans="1:10" x14ac:dyDescent="0.25">
      <c r="A52" s="12" t="s">
        <v>4</v>
      </c>
      <c r="B52" s="12">
        <v>2</v>
      </c>
      <c r="C52" s="12">
        <v>2</v>
      </c>
      <c r="D52" s="12" t="s">
        <v>47</v>
      </c>
      <c r="E52" s="12">
        <v>11537</v>
      </c>
      <c r="F52" s="12">
        <v>1000</v>
      </c>
      <c r="G52" s="26">
        <v>2.2131728045325778E-2</v>
      </c>
      <c r="H52">
        <f>1000</f>
        <v>1000</v>
      </c>
      <c r="I52" s="23">
        <f t="shared" si="2"/>
        <v>2.2131728045325778E-2</v>
      </c>
    </row>
    <row r="53" spans="1:10" x14ac:dyDescent="0.25">
      <c r="A53" s="12" t="s">
        <v>4</v>
      </c>
      <c r="B53" s="12">
        <v>2</v>
      </c>
      <c r="C53" s="12">
        <v>2</v>
      </c>
      <c r="D53" s="12" t="s">
        <v>21</v>
      </c>
      <c r="E53" s="12">
        <v>11536</v>
      </c>
      <c r="F53" s="12">
        <v>1384</v>
      </c>
      <c r="G53" s="26">
        <v>3.0630311614730878E-2</v>
      </c>
      <c r="H53">
        <f>692*2</f>
        <v>1384</v>
      </c>
      <c r="I53" s="23">
        <f t="shared" si="2"/>
        <v>3.0630311614730878E-2</v>
      </c>
    </row>
    <row r="54" spans="1:10" x14ac:dyDescent="0.25">
      <c r="A54" s="12" t="s">
        <v>4</v>
      </c>
      <c r="B54" s="12">
        <v>2</v>
      </c>
      <c r="C54" s="12">
        <v>2</v>
      </c>
      <c r="D54" s="12" t="s">
        <v>37</v>
      </c>
      <c r="E54" s="12">
        <v>11535</v>
      </c>
      <c r="F54" s="12">
        <v>1200</v>
      </c>
      <c r="G54" s="26">
        <v>2.6558073654390935E-2</v>
      </c>
      <c r="H54">
        <f>(200+400)*2</f>
        <v>1200</v>
      </c>
      <c r="I54" s="23">
        <f t="shared" si="2"/>
        <v>2.6558073654390935E-2</v>
      </c>
    </row>
    <row r="55" spans="1:10" x14ac:dyDescent="0.25">
      <c r="A55" s="12" t="s">
        <v>4</v>
      </c>
      <c r="B55" s="12">
        <v>2</v>
      </c>
      <c r="C55" s="12">
        <v>2</v>
      </c>
      <c r="D55" s="12" t="s">
        <v>37</v>
      </c>
      <c r="E55" s="12">
        <v>11534</v>
      </c>
      <c r="F55" s="12">
        <v>1000</v>
      </c>
      <c r="G55" s="26">
        <v>2.2131728045325778E-2</v>
      </c>
      <c r="H55">
        <f>500*2</f>
        <v>1000</v>
      </c>
      <c r="I55" s="23">
        <f t="shared" si="2"/>
        <v>2.2131728045325778E-2</v>
      </c>
    </row>
    <row r="56" spans="1:10" x14ac:dyDescent="0.25">
      <c r="A56" s="12" t="s">
        <v>4</v>
      </c>
      <c r="B56" s="12">
        <v>2</v>
      </c>
      <c r="C56" s="12">
        <v>2</v>
      </c>
      <c r="D56" s="12" t="s">
        <v>17</v>
      </c>
      <c r="E56" s="12">
        <v>11528</v>
      </c>
      <c r="F56" s="12">
        <v>1900</v>
      </c>
      <c r="G56" s="26">
        <v>4.2050283286118983E-2</v>
      </c>
      <c r="H56">
        <f>950*2</f>
        <v>1900</v>
      </c>
      <c r="I56" s="23">
        <f t="shared" si="2"/>
        <v>4.2050283286118983E-2</v>
      </c>
    </row>
    <row r="57" spans="1:10" x14ac:dyDescent="0.25">
      <c r="A57" s="1" t="s">
        <v>4</v>
      </c>
      <c r="B57" s="1">
        <v>3</v>
      </c>
      <c r="C57" s="1">
        <v>3</v>
      </c>
      <c r="D57" s="1" t="s">
        <v>33</v>
      </c>
      <c r="E57" s="1">
        <v>11559</v>
      </c>
      <c r="F57" s="1">
        <v>4300</v>
      </c>
      <c r="G57" s="27">
        <v>0.20429494488787533</v>
      </c>
      <c r="H57">
        <v>4300</v>
      </c>
      <c r="I57" s="23">
        <f>H57/J$57</f>
        <v>0.20429494488787533</v>
      </c>
      <c r="J57">
        <f>SUM(H57:H61)</f>
        <v>21048</v>
      </c>
    </row>
    <row r="58" spans="1:10" x14ac:dyDescent="0.25">
      <c r="A58" s="1" t="s">
        <v>4</v>
      </c>
      <c r="B58" s="1">
        <v>3</v>
      </c>
      <c r="C58" s="1">
        <v>3</v>
      </c>
      <c r="D58" s="1" t="s">
        <v>48</v>
      </c>
      <c r="E58" s="1">
        <v>11558</v>
      </c>
      <c r="F58" s="1">
        <v>9880</v>
      </c>
      <c r="G58" s="27">
        <v>0.46940326871911819</v>
      </c>
      <c r="H58">
        <v>9880</v>
      </c>
      <c r="I58" s="23">
        <f t="shared" ref="I58:I61" si="3">H58/J$57</f>
        <v>0.46940326871911819</v>
      </c>
    </row>
    <row r="59" spans="1:10" x14ac:dyDescent="0.25">
      <c r="A59" s="1" t="s">
        <v>4</v>
      </c>
      <c r="B59" s="1">
        <v>3</v>
      </c>
      <c r="C59" s="1">
        <v>3</v>
      </c>
      <c r="D59" s="1" t="s">
        <v>20</v>
      </c>
      <c r="E59" s="1">
        <v>11557</v>
      </c>
      <c r="F59" s="1">
        <v>3500</v>
      </c>
      <c r="G59" s="27">
        <v>0.16628658304827063</v>
      </c>
      <c r="H59">
        <v>3500</v>
      </c>
      <c r="I59" s="23">
        <f t="shared" si="3"/>
        <v>0.16628658304827063</v>
      </c>
    </row>
    <row r="60" spans="1:10" x14ac:dyDescent="0.25">
      <c r="A60" s="1" t="s">
        <v>4</v>
      </c>
      <c r="B60" s="1">
        <v>3</v>
      </c>
      <c r="C60" s="1">
        <v>3</v>
      </c>
      <c r="D60" s="1" t="s">
        <v>37</v>
      </c>
      <c r="E60" s="1">
        <v>11556</v>
      </c>
      <c r="F60" s="1">
        <v>2968</v>
      </c>
      <c r="G60" s="27">
        <v>0.14101102242493349</v>
      </c>
      <c r="H60">
        <v>2968</v>
      </c>
      <c r="I60" s="23">
        <f t="shared" si="3"/>
        <v>0.14101102242493349</v>
      </c>
    </row>
    <row r="61" spans="1:10" x14ac:dyDescent="0.25">
      <c r="A61" s="1" t="s">
        <v>4</v>
      </c>
      <c r="B61" s="1">
        <v>3</v>
      </c>
      <c r="C61" s="1">
        <v>3</v>
      </c>
      <c r="D61" s="1" t="s">
        <v>37</v>
      </c>
      <c r="E61" s="1">
        <v>11555</v>
      </c>
      <c r="F61" s="1">
        <v>400</v>
      </c>
      <c r="G61" s="27">
        <v>1.9004180919802355E-2</v>
      </c>
      <c r="H61">
        <v>400</v>
      </c>
      <c r="I61" s="23">
        <f t="shared" si="3"/>
        <v>1.9004180919802355E-2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Normal="100" workbookViewId="0">
      <selection activeCell="F1" sqref="F1"/>
    </sheetView>
  </sheetViews>
  <sheetFormatPr defaultRowHeight="15" x14ac:dyDescent="0.25"/>
  <cols>
    <col min="2" max="2" width="5.28515625" bestFit="1" customWidth="1"/>
    <col min="4" max="4" width="24.85546875" bestFit="1" customWidth="1"/>
    <col min="6" max="6" width="10.42578125" style="33" bestFit="1" customWidth="1"/>
    <col min="7" max="7" width="12.28515625" style="23" bestFit="1" customWidth="1"/>
    <col min="8" max="8" width="10.42578125" bestFit="1" customWidth="1"/>
  </cols>
  <sheetData>
    <row r="1" spans="1:11" x14ac:dyDescent="0.25">
      <c r="A1" t="s">
        <v>0</v>
      </c>
      <c r="B1" t="s">
        <v>1</v>
      </c>
      <c r="C1" t="s">
        <v>34</v>
      </c>
      <c r="D1" t="s">
        <v>35</v>
      </c>
      <c r="E1" t="s">
        <v>2</v>
      </c>
      <c r="F1" s="33" t="s">
        <v>51</v>
      </c>
      <c r="G1" s="23" t="s">
        <v>3</v>
      </c>
      <c r="H1" t="s">
        <v>51</v>
      </c>
    </row>
    <row r="2" spans="1:11" x14ac:dyDescent="0.25">
      <c r="A2" s="5" t="s">
        <v>4</v>
      </c>
      <c r="B2" s="5">
        <v>1</v>
      </c>
      <c r="C2" s="5">
        <v>0</v>
      </c>
      <c r="D2" s="5" t="s">
        <v>8</v>
      </c>
      <c r="E2" s="5">
        <v>11504</v>
      </c>
      <c r="F2" s="34">
        <v>36000</v>
      </c>
      <c r="G2" s="24">
        <v>0.22543678376855156</v>
      </c>
      <c r="H2">
        <f>VLOOKUP(E2,Link_TAZ_lookup!H:I,2,FALSE)</f>
        <v>36000</v>
      </c>
      <c r="I2" s="23">
        <f>H2/J$2</f>
        <v>0.22543678376855156</v>
      </c>
      <c r="J2">
        <f>SUM(H2:H4)</f>
        <v>159690</v>
      </c>
      <c r="K2">
        <f>ROUND(SUM(J:J),-3)</f>
        <v>285000</v>
      </c>
    </row>
    <row r="3" spans="1:11" x14ac:dyDescent="0.25">
      <c r="A3" s="5" t="s">
        <v>4</v>
      </c>
      <c r="B3" s="5">
        <v>2</v>
      </c>
      <c r="C3" s="5">
        <v>0</v>
      </c>
      <c r="D3" s="5" t="s">
        <v>7</v>
      </c>
      <c r="E3" s="5">
        <v>11548</v>
      </c>
      <c r="F3" s="34">
        <v>48054</v>
      </c>
      <c r="G3" s="24">
        <v>0.30092053353372161</v>
      </c>
      <c r="H3">
        <f>VLOOKUP(E3,Link_TAZ_lookup!H:I,2,FALSE)</f>
        <v>48054</v>
      </c>
      <c r="I3" s="23">
        <f t="shared" ref="I3:I4" si="0">H3/J$2</f>
        <v>0.30092053353372161</v>
      </c>
    </row>
    <row r="4" spans="1:11" x14ac:dyDescent="0.25">
      <c r="A4" s="5" t="s">
        <v>4</v>
      </c>
      <c r="B4" s="5">
        <v>3</v>
      </c>
      <c r="C4" s="5">
        <v>0</v>
      </c>
      <c r="D4" s="5" t="s">
        <v>6</v>
      </c>
      <c r="E4" s="5">
        <v>11560</v>
      </c>
      <c r="F4" s="34">
        <v>75636</v>
      </c>
      <c r="G4" s="24">
        <v>0.47364268269772686</v>
      </c>
      <c r="H4">
        <f>VLOOKUP(E4,Link_TAZ_lookup!H:I,2,FALSE)</f>
        <v>75636</v>
      </c>
      <c r="I4" s="23">
        <f t="shared" si="0"/>
        <v>0.47364268269772686</v>
      </c>
    </row>
    <row r="5" spans="1:11" x14ac:dyDescent="0.25">
      <c r="A5" s="16" t="s">
        <v>4</v>
      </c>
      <c r="B5" s="16">
        <v>1</v>
      </c>
      <c r="C5" s="16">
        <v>1</v>
      </c>
      <c r="D5" s="16" t="s">
        <v>20</v>
      </c>
      <c r="E5" s="16">
        <v>11533</v>
      </c>
      <c r="F5" s="35">
        <v>550</v>
      </c>
      <c r="G5" s="25">
        <v>7.5465484831437552E-3</v>
      </c>
      <c r="H5">
        <f>VLOOKUP(E5,Link_TAZ_lookup!H:I,2,FALSE)</f>
        <v>550</v>
      </c>
      <c r="I5" s="23">
        <f>H5/J$5</f>
        <v>7.5465484831437552E-3</v>
      </c>
      <c r="J5">
        <f>SUM(H5:H35)</f>
        <v>72881</v>
      </c>
    </row>
    <row r="6" spans="1:11" x14ac:dyDescent="0.25">
      <c r="A6" s="16" t="s">
        <v>4</v>
      </c>
      <c r="B6" s="16">
        <v>1</v>
      </c>
      <c r="C6" s="16">
        <v>1</v>
      </c>
      <c r="D6" s="16" t="s">
        <v>37</v>
      </c>
      <c r="E6" s="16">
        <v>11532</v>
      </c>
      <c r="F6" s="35">
        <v>500</v>
      </c>
      <c r="G6" s="25">
        <v>6.8604986210397774E-3</v>
      </c>
      <c r="H6">
        <f>VLOOKUP(E6,Link_TAZ_lookup!H:I,2,FALSE)</f>
        <v>500</v>
      </c>
      <c r="I6" s="23">
        <f t="shared" ref="I6:I35" si="1">H6/J$5</f>
        <v>6.8604986210397774E-3</v>
      </c>
    </row>
    <row r="7" spans="1:11" x14ac:dyDescent="0.25">
      <c r="A7" s="16" t="s">
        <v>4</v>
      </c>
      <c r="B7" s="16">
        <v>1</v>
      </c>
      <c r="C7" s="16">
        <v>1</v>
      </c>
      <c r="D7" s="16" t="s">
        <v>19</v>
      </c>
      <c r="E7" s="16">
        <v>11531</v>
      </c>
      <c r="F7" s="35">
        <v>1050</v>
      </c>
      <c r="G7" s="25">
        <v>1.4407047104183533E-2</v>
      </c>
      <c r="H7">
        <f>VLOOKUP(E7,Link_TAZ_lookup!H:I,2,FALSE)</f>
        <v>1050</v>
      </c>
      <c r="I7" s="23">
        <f t="shared" si="1"/>
        <v>1.4407047104183533E-2</v>
      </c>
    </row>
    <row r="8" spans="1:11" x14ac:dyDescent="0.25">
      <c r="A8" s="16" t="s">
        <v>4</v>
      </c>
      <c r="B8" s="16">
        <v>1</v>
      </c>
      <c r="C8" s="16">
        <v>1</v>
      </c>
      <c r="D8" s="16" t="s">
        <v>37</v>
      </c>
      <c r="E8" s="16">
        <v>11530</v>
      </c>
      <c r="F8" s="35">
        <v>375</v>
      </c>
      <c r="G8" s="25">
        <v>5.1453739657798328E-3</v>
      </c>
      <c r="H8">
        <f>VLOOKUP(E8,Link_TAZ_lookup!H:I,2,FALSE)</f>
        <v>375</v>
      </c>
      <c r="I8" s="23">
        <f t="shared" si="1"/>
        <v>5.1453739657798328E-3</v>
      </c>
    </row>
    <row r="9" spans="1:11" x14ac:dyDescent="0.25">
      <c r="A9" s="16" t="s">
        <v>4</v>
      </c>
      <c r="B9" s="16">
        <v>1</v>
      </c>
      <c r="C9" s="16">
        <v>1</v>
      </c>
      <c r="D9" s="16" t="s">
        <v>18</v>
      </c>
      <c r="E9" s="16">
        <v>11529</v>
      </c>
      <c r="F9" s="35">
        <v>15876</v>
      </c>
      <c r="G9" s="25">
        <v>0.217834552215255</v>
      </c>
      <c r="H9">
        <f>VLOOKUP(E9,Link_TAZ_lookup!H:I,2,FALSE)</f>
        <v>15876</v>
      </c>
      <c r="I9" s="23">
        <f t="shared" si="1"/>
        <v>0.217834552215255</v>
      </c>
    </row>
    <row r="10" spans="1:11" x14ac:dyDescent="0.25">
      <c r="A10" s="16" t="s">
        <v>4</v>
      </c>
      <c r="B10" s="16">
        <v>1</v>
      </c>
      <c r="C10" s="16">
        <v>1</v>
      </c>
      <c r="D10" s="16" t="s">
        <v>16</v>
      </c>
      <c r="E10" s="16">
        <v>11527</v>
      </c>
      <c r="F10" s="35">
        <v>1476</v>
      </c>
      <c r="G10" s="25">
        <v>2.0252191929309424E-2</v>
      </c>
      <c r="H10">
        <f>VLOOKUP(E10,Link_TAZ_lookup!H:I,2,FALSE)</f>
        <v>1476</v>
      </c>
      <c r="I10" s="23">
        <f t="shared" si="1"/>
        <v>2.0252191929309424E-2</v>
      </c>
    </row>
    <row r="11" spans="1:11" x14ac:dyDescent="0.25">
      <c r="A11" s="16" t="s">
        <v>4</v>
      </c>
      <c r="B11" s="16">
        <v>1</v>
      </c>
      <c r="C11" s="16">
        <v>1</v>
      </c>
      <c r="D11" s="16" t="s">
        <v>38</v>
      </c>
      <c r="E11" s="16">
        <v>11526</v>
      </c>
      <c r="F11" s="35">
        <v>800</v>
      </c>
      <c r="G11" s="25">
        <v>1.0976797793663643E-2</v>
      </c>
      <c r="H11">
        <f>VLOOKUP(E11,Link_TAZ_lookup!H:I,2,FALSE)</f>
        <v>800</v>
      </c>
      <c r="I11" s="23">
        <f t="shared" si="1"/>
        <v>1.0976797793663643E-2</v>
      </c>
    </row>
    <row r="12" spans="1:11" x14ac:dyDescent="0.25">
      <c r="A12" s="16" t="s">
        <v>4</v>
      </c>
      <c r="B12" s="16">
        <v>1</v>
      </c>
      <c r="C12" s="16">
        <v>1</v>
      </c>
      <c r="D12" s="16" t="s">
        <v>39</v>
      </c>
      <c r="E12" s="16">
        <v>11525</v>
      </c>
      <c r="F12" s="35">
        <v>2050</v>
      </c>
      <c r="G12" s="25">
        <v>2.8128044346263086E-2</v>
      </c>
      <c r="H12">
        <f>VLOOKUP(E12,Link_TAZ_lookup!H:I,2,FALSE)</f>
        <v>2050</v>
      </c>
      <c r="I12" s="23">
        <f t="shared" si="1"/>
        <v>2.8128044346263086E-2</v>
      </c>
    </row>
    <row r="13" spans="1:11" x14ac:dyDescent="0.25">
      <c r="A13" s="16" t="s">
        <v>4</v>
      </c>
      <c r="B13" s="16">
        <v>1</v>
      </c>
      <c r="C13" s="16">
        <v>1</v>
      </c>
      <c r="D13" s="16" t="s">
        <v>37</v>
      </c>
      <c r="E13" s="16">
        <v>11524</v>
      </c>
      <c r="F13" s="35">
        <v>275</v>
      </c>
      <c r="G13" s="25">
        <v>3.7732742415718776E-3</v>
      </c>
      <c r="H13">
        <f>VLOOKUP(E13,Link_TAZ_lookup!H:I,2,FALSE)</f>
        <v>275</v>
      </c>
      <c r="I13" s="23">
        <f t="shared" si="1"/>
        <v>3.7732742415718776E-3</v>
      </c>
    </row>
    <row r="14" spans="1:11" x14ac:dyDescent="0.25">
      <c r="A14" s="16" t="s">
        <v>4</v>
      </c>
      <c r="B14" s="16">
        <v>1</v>
      </c>
      <c r="C14" s="16">
        <v>1</v>
      </c>
      <c r="D14" s="16" t="s">
        <v>37</v>
      </c>
      <c r="E14" s="16">
        <v>11523</v>
      </c>
      <c r="F14" s="35">
        <v>350</v>
      </c>
      <c r="G14" s="25">
        <v>4.8023490347278439E-3</v>
      </c>
      <c r="H14">
        <f>VLOOKUP(E14,Link_TAZ_lookup!H:I,2,FALSE)</f>
        <v>350</v>
      </c>
      <c r="I14" s="23">
        <f t="shared" si="1"/>
        <v>4.8023490347278439E-3</v>
      </c>
    </row>
    <row r="15" spans="1:11" x14ac:dyDescent="0.25">
      <c r="A15" s="16" t="s">
        <v>4</v>
      </c>
      <c r="B15" s="16">
        <v>1</v>
      </c>
      <c r="C15" s="16">
        <v>1</v>
      </c>
      <c r="D15" s="16" t="s">
        <v>37</v>
      </c>
      <c r="E15" s="16">
        <v>11522</v>
      </c>
      <c r="F15" s="35">
        <v>275</v>
      </c>
      <c r="G15" s="25">
        <v>3.7732742415718776E-3</v>
      </c>
      <c r="H15">
        <f>VLOOKUP(E15,Link_TAZ_lookup!H:I,2,FALSE)</f>
        <v>275</v>
      </c>
      <c r="I15" s="23">
        <f t="shared" si="1"/>
        <v>3.7732742415718776E-3</v>
      </c>
    </row>
    <row r="16" spans="1:11" x14ac:dyDescent="0.25">
      <c r="A16" s="16" t="s">
        <v>4</v>
      </c>
      <c r="B16" s="16">
        <v>1</v>
      </c>
      <c r="C16" s="16">
        <v>1</v>
      </c>
      <c r="D16" s="16" t="s">
        <v>37</v>
      </c>
      <c r="E16" s="16">
        <v>11521</v>
      </c>
      <c r="F16" s="35">
        <v>475</v>
      </c>
      <c r="G16" s="25">
        <v>6.5174736899877884E-3</v>
      </c>
      <c r="H16">
        <f>VLOOKUP(E16,Link_TAZ_lookup!H:I,2,FALSE)</f>
        <v>475</v>
      </c>
      <c r="I16" s="23">
        <f t="shared" si="1"/>
        <v>6.5174736899877884E-3</v>
      </c>
    </row>
    <row r="17" spans="1:9" x14ac:dyDescent="0.25">
      <c r="A17" s="16" t="s">
        <v>4</v>
      </c>
      <c r="B17" s="16">
        <v>1</v>
      </c>
      <c r="C17" s="16">
        <v>1</v>
      </c>
      <c r="D17" s="16" t="s">
        <v>15</v>
      </c>
      <c r="E17" s="16">
        <v>11520</v>
      </c>
      <c r="F17" s="35">
        <v>850</v>
      </c>
      <c r="G17" s="25">
        <v>1.1662847655767621E-2</v>
      </c>
      <c r="H17">
        <f>VLOOKUP(E17,Link_TAZ_lookup!H:I,2,FALSE)</f>
        <v>850</v>
      </c>
      <c r="I17" s="23">
        <f t="shared" si="1"/>
        <v>1.1662847655767621E-2</v>
      </c>
    </row>
    <row r="18" spans="1:9" x14ac:dyDescent="0.25">
      <c r="A18" s="16" t="s">
        <v>4</v>
      </c>
      <c r="B18" s="16">
        <v>1</v>
      </c>
      <c r="C18" s="16">
        <v>1</v>
      </c>
      <c r="D18" s="16" t="s">
        <v>37</v>
      </c>
      <c r="E18" s="16">
        <v>11519</v>
      </c>
      <c r="F18" s="35">
        <v>800</v>
      </c>
      <c r="G18" s="25">
        <v>1.0976797793663643E-2</v>
      </c>
      <c r="H18">
        <f>VLOOKUP(E18,Link_TAZ_lookup!H:I,2,FALSE)</f>
        <v>800</v>
      </c>
      <c r="I18" s="23">
        <f t="shared" si="1"/>
        <v>1.0976797793663643E-2</v>
      </c>
    </row>
    <row r="19" spans="1:9" x14ac:dyDescent="0.25">
      <c r="A19" s="16" t="s">
        <v>4</v>
      </c>
      <c r="B19" s="16">
        <v>1</v>
      </c>
      <c r="C19" s="16">
        <v>1</v>
      </c>
      <c r="D19" s="16" t="s">
        <v>37</v>
      </c>
      <c r="E19" s="16">
        <v>11518</v>
      </c>
      <c r="F19" s="35">
        <v>1300</v>
      </c>
      <c r="G19" s="25">
        <v>1.783729641470342E-2</v>
      </c>
      <c r="H19">
        <f>VLOOKUP(E19,Link_TAZ_lookup!H:I,2,FALSE)</f>
        <v>1300</v>
      </c>
      <c r="I19" s="23">
        <f t="shared" si="1"/>
        <v>1.783729641470342E-2</v>
      </c>
    </row>
    <row r="20" spans="1:9" x14ac:dyDescent="0.25">
      <c r="A20" s="16" t="s">
        <v>4</v>
      </c>
      <c r="B20" s="16">
        <v>1</v>
      </c>
      <c r="C20" s="16">
        <v>1</v>
      </c>
      <c r="D20" s="16" t="s">
        <v>37</v>
      </c>
      <c r="E20" s="16">
        <v>11517</v>
      </c>
      <c r="F20" s="35">
        <v>2000</v>
      </c>
      <c r="G20" s="25">
        <v>2.7441994484159109E-2</v>
      </c>
      <c r="H20">
        <f>VLOOKUP(E20,Link_TAZ_lookup!H:I,2,FALSE)</f>
        <v>2000</v>
      </c>
      <c r="I20" s="23">
        <f t="shared" si="1"/>
        <v>2.7441994484159109E-2</v>
      </c>
    </row>
    <row r="21" spans="1:9" x14ac:dyDescent="0.25">
      <c r="A21" s="16" t="s">
        <v>4</v>
      </c>
      <c r="B21" s="16">
        <v>1</v>
      </c>
      <c r="C21" s="16">
        <v>1</v>
      </c>
      <c r="D21" s="16" t="s">
        <v>14</v>
      </c>
      <c r="E21" s="16">
        <v>11516</v>
      </c>
      <c r="F21" s="35">
        <v>2557</v>
      </c>
      <c r="G21" s="25">
        <v>3.5084589947997423E-2</v>
      </c>
      <c r="H21">
        <f>VLOOKUP(E21,Link_TAZ_lookup!H:I,2,FALSE)</f>
        <v>2557</v>
      </c>
      <c r="I21" s="23">
        <f t="shared" si="1"/>
        <v>3.5084589947997423E-2</v>
      </c>
    </row>
    <row r="22" spans="1:9" x14ac:dyDescent="0.25">
      <c r="A22" s="16" t="s">
        <v>4</v>
      </c>
      <c r="B22" s="16">
        <v>1</v>
      </c>
      <c r="C22" s="16">
        <v>1</v>
      </c>
      <c r="D22" s="16" t="s">
        <v>37</v>
      </c>
      <c r="E22" s="16">
        <v>11515</v>
      </c>
      <c r="F22" s="35">
        <v>1450</v>
      </c>
      <c r="G22" s="25">
        <v>1.9895446001015355E-2</v>
      </c>
      <c r="H22">
        <f>VLOOKUP(E22,Link_TAZ_lookup!H:I,2,FALSE)</f>
        <v>1450</v>
      </c>
      <c r="I22" s="23">
        <f t="shared" si="1"/>
        <v>1.9895446001015355E-2</v>
      </c>
    </row>
    <row r="23" spans="1:9" x14ac:dyDescent="0.25">
      <c r="A23" s="16" t="s">
        <v>4</v>
      </c>
      <c r="B23" s="16">
        <v>1</v>
      </c>
      <c r="C23" s="16">
        <v>1</v>
      </c>
      <c r="D23" s="16" t="s">
        <v>37</v>
      </c>
      <c r="E23" s="16">
        <v>11514</v>
      </c>
      <c r="F23" s="35">
        <v>2000</v>
      </c>
      <c r="G23" s="25">
        <v>2.7441994484159109E-2</v>
      </c>
      <c r="H23">
        <f>VLOOKUP(E23,Link_TAZ_lookup!H:I,2,FALSE)</f>
        <v>2000</v>
      </c>
      <c r="I23" s="23">
        <f t="shared" si="1"/>
        <v>2.7441994484159109E-2</v>
      </c>
    </row>
    <row r="24" spans="1:9" x14ac:dyDescent="0.25">
      <c r="A24" s="16" t="s">
        <v>4</v>
      </c>
      <c r="B24" s="16">
        <v>1</v>
      </c>
      <c r="C24" s="16">
        <v>1</v>
      </c>
      <c r="D24" s="16" t="s">
        <v>12</v>
      </c>
      <c r="E24" s="16">
        <v>11513</v>
      </c>
      <c r="F24" s="35">
        <v>2000</v>
      </c>
      <c r="G24" s="25">
        <v>2.7441994484159109E-2</v>
      </c>
      <c r="H24">
        <f>VLOOKUP(E24,Link_TAZ_lookup!H:I,2,FALSE)</f>
        <v>2000</v>
      </c>
      <c r="I24" s="23">
        <f t="shared" si="1"/>
        <v>2.7441994484159109E-2</v>
      </c>
    </row>
    <row r="25" spans="1:9" x14ac:dyDescent="0.25">
      <c r="A25" s="16" t="s">
        <v>4</v>
      </c>
      <c r="B25" s="16">
        <v>1</v>
      </c>
      <c r="C25" s="16">
        <v>1</v>
      </c>
      <c r="D25" s="16" t="s">
        <v>37</v>
      </c>
      <c r="E25" s="16">
        <v>11512</v>
      </c>
      <c r="F25" s="35">
        <v>2025</v>
      </c>
      <c r="G25" s="25">
        <v>2.7785019415211099E-2</v>
      </c>
      <c r="H25">
        <f>VLOOKUP(E25,Link_TAZ_lookup!H:I,2,FALSE)</f>
        <v>2025</v>
      </c>
      <c r="I25" s="23">
        <f t="shared" si="1"/>
        <v>2.7785019415211099E-2</v>
      </c>
    </row>
    <row r="26" spans="1:9" x14ac:dyDescent="0.25">
      <c r="A26" s="16" t="s">
        <v>4</v>
      </c>
      <c r="B26" s="16">
        <v>1</v>
      </c>
      <c r="C26" s="16">
        <v>1</v>
      </c>
      <c r="D26" s="16" t="s">
        <v>37</v>
      </c>
      <c r="E26" s="16">
        <v>11511</v>
      </c>
      <c r="F26" s="35">
        <v>3000</v>
      </c>
      <c r="G26" s="25">
        <v>4.1162991726238662E-2</v>
      </c>
      <c r="H26" s="32">
        <v>3000</v>
      </c>
      <c r="I26" s="23">
        <f t="shared" si="1"/>
        <v>4.1162991726238662E-2</v>
      </c>
    </row>
    <row r="27" spans="1:9" x14ac:dyDescent="0.25">
      <c r="A27" s="16" t="s">
        <v>4</v>
      </c>
      <c r="B27" s="16">
        <v>1</v>
      </c>
      <c r="C27" s="16">
        <v>1</v>
      </c>
      <c r="D27" s="16" t="s">
        <v>11</v>
      </c>
      <c r="E27" s="16">
        <v>11510</v>
      </c>
      <c r="F27" s="35">
        <v>575</v>
      </c>
      <c r="G27" s="25">
        <v>7.8895734141957441E-3</v>
      </c>
      <c r="H27">
        <f>VLOOKUP(E27,Link_TAZ_lookup!H:I,2,FALSE)</f>
        <v>575</v>
      </c>
      <c r="I27" s="23">
        <f t="shared" si="1"/>
        <v>7.8895734141957441E-3</v>
      </c>
    </row>
    <row r="28" spans="1:9" x14ac:dyDescent="0.25">
      <c r="A28" s="16" t="s">
        <v>4</v>
      </c>
      <c r="B28" s="16">
        <v>1</v>
      </c>
      <c r="C28" s="16">
        <v>1</v>
      </c>
      <c r="D28" s="16" t="s">
        <v>10</v>
      </c>
      <c r="E28" s="16">
        <v>11509</v>
      </c>
      <c r="F28" s="35">
        <v>5750</v>
      </c>
      <c r="G28" s="25">
        <v>7.8895734141957441E-2</v>
      </c>
      <c r="H28">
        <f>VLOOKUP(E28,Link_TAZ_lookup!H:I,2,FALSE)</f>
        <v>5750</v>
      </c>
      <c r="I28" s="23">
        <f t="shared" si="1"/>
        <v>7.8895734141957441E-2</v>
      </c>
    </row>
    <row r="29" spans="1:9" x14ac:dyDescent="0.25">
      <c r="A29" s="16" t="s">
        <v>4</v>
      </c>
      <c r="B29" s="16">
        <v>1</v>
      </c>
      <c r="C29" s="16">
        <v>1</v>
      </c>
      <c r="D29" s="16" t="s">
        <v>10</v>
      </c>
      <c r="E29" s="16">
        <v>11508</v>
      </c>
      <c r="F29" s="35">
        <v>800</v>
      </c>
      <c r="G29" s="25">
        <v>1.0976797793663643E-2</v>
      </c>
      <c r="H29">
        <f>VLOOKUP(E29,Link_TAZ_lookup!H:I,2,FALSE)</f>
        <v>800</v>
      </c>
      <c r="I29" s="23">
        <f t="shared" si="1"/>
        <v>1.0976797793663643E-2</v>
      </c>
    </row>
    <row r="30" spans="1:9" x14ac:dyDescent="0.25">
      <c r="A30" s="16" t="s">
        <v>4</v>
      </c>
      <c r="B30" s="16">
        <v>1</v>
      </c>
      <c r="C30" s="16">
        <v>1</v>
      </c>
      <c r="D30" s="16" t="s">
        <v>37</v>
      </c>
      <c r="E30" s="16">
        <v>11507</v>
      </c>
      <c r="F30" s="35">
        <v>2938</v>
      </c>
      <c r="G30" s="25">
        <v>4.0312289897229729E-2</v>
      </c>
      <c r="H30">
        <f>VLOOKUP(E30,Link_TAZ_lookup!H:I,2,FALSE)</f>
        <v>2938</v>
      </c>
      <c r="I30" s="23">
        <f t="shared" si="1"/>
        <v>4.0312289897229729E-2</v>
      </c>
    </row>
    <row r="31" spans="1:9" x14ac:dyDescent="0.25">
      <c r="A31" s="16" t="s">
        <v>4</v>
      </c>
      <c r="B31" s="16">
        <v>1</v>
      </c>
      <c r="C31" s="16">
        <v>1</v>
      </c>
      <c r="D31" s="16" t="s">
        <v>37</v>
      </c>
      <c r="E31" s="16">
        <v>11506</v>
      </c>
      <c r="F31" s="35">
        <v>250</v>
      </c>
      <c r="G31" s="25">
        <v>3.4302493105198887E-3</v>
      </c>
      <c r="H31" s="32">
        <v>250</v>
      </c>
      <c r="I31" s="23">
        <f t="shared" si="1"/>
        <v>3.4302493105198887E-3</v>
      </c>
    </row>
    <row r="32" spans="1:9" x14ac:dyDescent="0.25">
      <c r="A32" s="16" t="s">
        <v>4</v>
      </c>
      <c r="B32" s="16">
        <v>1</v>
      </c>
      <c r="C32" s="16">
        <v>1</v>
      </c>
      <c r="D32" s="16" t="s">
        <v>37</v>
      </c>
      <c r="E32" s="16">
        <v>11505</v>
      </c>
      <c r="F32" s="35">
        <v>2150</v>
      </c>
      <c r="G32" s="25">
        <v>2.9500144070471041E-2</v>
      </c>
      <c r="H32">
        <f>VLOOKUP(E32,Link_TAZ_lookup!H:I,2,FALSE)</f>
        <v>2150</v>
      </c>
      <c r="I32" s="23">
        <f t="shared" si="1"/>
        <v>2.9500144070471041E-2</v>
      </c>
    </row>
    <row r="33" spans="1:10" x14ac:dyDescent="0.25">
      <c r="A33" s="16" t="s">
        <v>4</v>
      </c>
      <c r="B33" s="16">
        <v>1</v>
      </c>
      <c r="C33" s="16">
        <v>1</v>
      </c>
      <c r="D33" s="16" t="s">
        <v>9</v>
      </c>
      <c r="E33" s="16">
        <v>11503</v>
      </c>
      <c r="F33" s="35">
        <v>3496</v>
      </c>
      <c r="G33" s="25">
        <v>4.7968606358310122E-2</v>
      </c>
      <c r="H33">
        <f>VLOOKUP(E33,Link_TAZ_lookup!H:I,2,FALSE)</f>
        <v>3496</v>
      </c>
      <c r="I33" s="23">
        <f t="shared" si="1"/>
        <v>4.7968606358310122E-2</v>
      </c>
    </row>
    <row r="34" spans="1:10" x14ac:dyDescent="0.25">
      <c r="A34" s="16" t="s">
        <v>4</v>
      </c>
      <c r="B34" s="16">
        <v>1</v>
      </c>
      <c r="C34" s="16">
        <v>1</v>
      </c>
      <c r="D34" s="16" t="s">
        <v>40</v>
      </c>
      <c r="E34" s="16">
        <v>11502</v>
      </c>
      <c r="F34" s="35">
        <v>7388</v>
      </c>
      <c r="G34" s="25">
        <v>0.10137072762448375</v>
      </c>
      <c r="H34">
        <f>VLOOKUP(E34,Link_TAZ_lookup!H:I,2,FALSE)</f>
        <v>7388</v>
      </c>
      <c r="I34" s="23">
        <f t="shared" si="1"/>
        <v>0.10137072762448375</v>
      </c>
    </row>
    <row r="35" spans="1:10" x14ac:dyDescent="0.25">
      <c r="A35" s="16" t="s">
        <v>4</v>
      </c>
      <c r="B35" s="16">
        <v>1</v>
      </c>
      <c r="C35" s="16">
        <v>1</v>
      </c>
      <c r="D35" s="16" t="s">
        <v>41</v>
      </c>
      <c r="E35" s="16">
        <v>11501</v>
      </c>
      <c r="F35" s="35">
        <v>7500</v>
      </c>
      <c r="G35" s="25">
        <v>0.10290747931559666</v>
      </c>
      <c r="H35">
        <f>VLOOKUP(E35,Link_TAZ_lookup!H:I,2,FALSE)</f>
        <v>7500</v>
      </c>
      <c r="I35" s="23">
        <f t="shared" si="1"/>
        <v>0.10290747931559666</v>
      </c>
    </row>
    <row r="36" spans="1:10" x14ac:dyDescent="0.25">
      <c r="A36" s="12" t="s">
        <v>4</v>
      </c>
      <c r="B36" s="12">
        <v>2</v>
      </c>
      <c r="C36" s="12">
        <v>2</v>
      </c>
      <c r="D36" s="12" t="s">
        <v>37</v>
      </c>
      <c r="E36" s="12">
        <v>11554</v>
      </c>
      <c r="F36" s="36">
        <v>400</v>
      </c>
      <c r="G36" s="26">
        <v>1.1376564277588168E-2</v>
      </c>
      <c r="H36" s="32">
        <v>400</v>
      </c>
      <c r="I36" s="23">
        <f>H36/J$36</f>
        <v>1.1376564277588168E-2</v>
      </c>
      <c r="J36">
        <f>SUM(H36:H56)</f>
        <v>35160</v>
      </c>
    </row>
    <row r="37" spans="1:10" x14ac:dyDescent="0.25">
      <c r="A37" s="12" t="s">
        <v>4</v>
      </c>
      <c r="B37" s="12">
        <v>2</v>
      </c>
      <c r="C37" s="12">
        <v>2</v>
      </c>
      <c r="D37" s="12" t="s">
        <v>42</v>
      </c>
      <c r="E37" s="12">
        <v>11553</v>
      </c>
      <c r="F37" s="36">
        <v>375</v>
      </c>
      <c r="G37" s="26">
        <v>1.0665529010238909E-2</v>
      </c>
      <c r="H37">
        <f>VLOOKUP(E37,Link_TAZ_lookup!H:I,2,FALSE)</f>
        <v>375</v>
      </c>
      <c r="I37" s="23">
        <f t="shared" ref="I37:I56" si="2">H37/J$36</f>
        <v>1.0665529010238909E-2</v>
      </c>
    </row>
    <row r="38" spans="1:10" x14ac:dyDescent="0.25">
      <c r="A38" s="12" t="s">
        <v>4</v>
      </c>
      <c r="B38" s="12">
        <v>2</v>
      </c>
      <c r="C38" s="12">
        <v>2</v>
      </c>
      <c r="D38" s="12" t="s">
        <v>37</v>
      </c>
      <c r="E38" s="12">
        <v>11552</v>
      </c>
      <c r="F38" s="36">
        <v>632</v>
      </c>
      <c r="G38" s="26">
        <v>1.7974971558589306E-2</v>
      </c>
      <c r="H38">
        <f>VLOOKUP(E38,Link_TAZ_lookup!H:I,2,FALSE)</f>
        <v>632</v>
      </c>
      <c r="I38" s="23">
        <f t="shared" si="2"/>
        <v>1.7974971558589306E-2</v>
      </c>
    </row>
    <row r="39" spans="1:10" x14ac:dyDescent="0.25">
      <c r="A39" s="12" t="s">
        <v>4</v>
      </c>
      <c r="B39" s="12">
        <v>2</v>
      </c>
      <c r="C39" s="12">
        <v>2</v>
      </c>
      <c r="D39" s="12" t="s">
        <v>37</v>
      </c>
      <c r="E39" s="12">
        <v>11551</v>
      </c>
      <c r="F39" s="36">
        <v>800</v>
      </c>
      <c r="G39" s="26">
        <v>2.2753128555176336E-2</v>
      </c>
      <c r="H39">
        <f>VLOOKUP(E39,Link_TAZ_lookup!H:I,2,FALSE)</f>
        <v>800</v>
      </c>
      <c r="I39" s="23">
        <f t="shared" si="2"/>
        <v>2.2753128555176336E-2</v>
      </c>
    </row>
    <row r="40" spans="1:10" x14ac:dyDescent="0.25">
      <c r="A40" s="12" t="s">
        <v>4</v>
      </c>
      <c r="B40" s="12">
        <v>2</v>
      </c>
      <c r="C40" s="12">
        <v>2</v>
      </c>
      <c r="D40" s="12" t="s">
        <v>43</v>
      </c>
      <c r="E40" s="12">
        <v>11550</v>
      </c>
      <c r="F40" s="36">
        <v>1400</v>
      </c>
      <c r="G40" s="26">
        <v>3.981797497155859E-2</v>
      </c>
      <c r="H40" s="32">
        <v>1400</v>
      </c>
      <c r="I40" s="23">
        <f t="shared" si="2"/>
        <v>3.981797497155859E-2</v>
      </c>
    </row>
    <row r="41" spans="1:10" x14ac:dyDescent="0.25">
      <c r="A41" s="12" t="s">
        <v>4</v>
      </c>
      <c r="B41" s="12">
        <v>2</v>
      </c>
      <c r="C41" s="12">
        <v>2</v>
      </c>
      <c r="D41" s="12" t="s">
        <v>43</v>
      </c>
      <c r="E41" s="12">
        <v>11549</v>
      </c>
      <c r="F41" s="36">
        <v>300</v>
      </c>
      <c r="G41" s="26">
        <v>8.5324232081911266E-3</v>
      </c>
      <c r="H41" s="32">
        <v>300</v>
      </c>
      <c r="I41" s="23">
        <f t="shared" si="2"/>
        <v>8.5324232081911266E-3</v>
      </c>
    </row>
    <row r="42" spans="1:10" x14ac:dyDescent="0.25">
      <c r="A42" s="12" t="s">
        <v>4</v>
      </c>
      <c r="B42" s="12">
        <v>2</v>
      </c>
      <c r="C42" s="12">
        <v>2</v>
      </c>
      <c r="D42" s="12" t="s">
        <v>44</v>
      </c>
      <c r="E42" s="12">
        <v>11547</v>
      </c>
      <c r="F42" s="36">
        <v>1900</v>
      </c>
      <c r="G42" s="26">
        <v>5.4038680318543801E-2</v>
      </c>
      <c r="H42">
        <f>VLOOKUP(E42,Link_TAZ_lookup!H:I,2,FALSE)</f>
        <v>1900</v>
      </c>
      <c r="I42" s="23">
        <f t="shared" si="2"/>
        <v>5.4038680318543801E-2</v>
      </c>
    </row>
    <row r="43" spans="1:10" x14ac:dyDescent="0.25">
      <c r="A43" s="12" t="s">
        <v>4</v>
      </c>
      <c r="B43" s="12">
        <v>2</v>
      </c>
      <c r="C43" s="12">
        <v>2</v>
      </c>
      <c r="D43" s="12" t="s">
        <v>45</v>
      </c>
      <c r="E43" s="12">
        <v>11546</v>
      </c>
      <c r="F43" s="36">
        <v>500</v>
      </c>
      <c r="G43" s="26">
        <v>1.422070534698521E-2</v>
      </c>
      <c r="H43">
        <f>VLOOKUP(E43,Link_TAZ_lookup!H:I,2,FALSE)</f>
        <v>500</v>
      </c>
      <c r="I43" s="23">
        <f t="shared" si="2"/>
        <v>1.422070534698521E-2</v>
      </c>
    </row>
    <row r="44" spans="1:10" x14ac:dyDescent="0.25">
      <c r="A44" s="12" t="s">
        <v>4</v>
      </c>
      <c r="B44" s="12">
        <v>2</v>
      </c>
      <c r="C44" s="12">
        <v>2</v>
      </c>
      <c r="D44" s="12" t="s">
        <v>37</v>
      </c>
      <c r="E44" s="12">
        <v>11545</v>
      </c>
      <c r="F44" s="36">
        <v>225</v>
      </c>
      <c r="G44" s="26">
        <v>6.3993174061433445E-3</v>
      </c>
      <c r="H44">
        <f>VLOOKUP(E44,Link_TAZ_lookup!H:I,2,FALSE)</f>
        <v>225</v>
      </c>
      <c r="I44" s="23">
        <f t="shared" si="2"/>
        <v>6.3993174061433445E-3</v>
      </c>
    </row>
    <row r="45" spans="1:10" x14ac:dyDescent="0.25">
      <c r="A45" s="12" t="s">
        <v>4</v>
      </c>
      <c r="B45" s="12">
        <v>2</v>
      </c>
      <c r="C45" s="12">
        <v>2</v>
      </c>
      <c r="D45" s="12" t="s">
        <v>25</v>
      </c>
      <c r="E45" s="12">
        <v>11544</v>
      </c>
      <c r="F45" s="36">
        <v>675</v>
      </c>
      <c r="G45" s="26">
        <v>1.9197952218430035E-2</v>
      </c>
      <c r="H45">
        <f>VLOOKUP(E45,Link_TAZ_lookup!H:I,2,FALSE)</f>
        <v>675</v>
      </c>
      <c r="I45" s="23">
        <f t="shared" si="2"/>
        <v>1.9197952218430035E-2</v>
      </c>
    </row>
    <row r="46" spans="1:10" x14ac:dyDescent="0.25">
      <c r="A46" s="12" t="s">
        <v>4</v>
      </c>
      <c r="B46" s="12">
        <v>2</v>
      </c>
      <c r="C46" s="12">
        <v>2</v>
      </c>
      <c r="D46" s="12" t="s">
        <v>46</v>
      </c>
      <c r="E46" s="12">
        <v>11543</v>
      </c>
      <c r="F46" s="36">
        <v>250</v>
      </c>
      <c r="G46" s="26">
        <v>7.1103526734926049E-3</v>
      </c>
      <c r="H46">
        <f>VLOOKUP(E46,Link_TAZ_lookup!H:I,2,FALSE)</f>
        <v>250</v>
      </c>
      <c r="I46" s="23">
        <f t="shared" si="2"/>
        <v>7.1103526734926049E-3</v>
      </c>
    </row>
    <row r="47" spans="1:10" x14ac:dyDescent="0.25">
      <c r="A47" s="12" t="s">
        <v>4</v>
      </c>
      <c r="B47" s="12">
        <v>2</v>
      </c>
      <c r="C47" s="12">
        <v>2</v>
      </c>
      <c r="D47" s="12" t="s">
        <v>24</v>
      </c>
      <c r="E47" s="12">
        <v>11542</v>
      </c>
      <c r="F47" s="36">
        <v>4500</v>
      </c>
      <c r="G47" s="26">
        <v>0.12798634812286688</v>
      </c>
      <c r="H47">
        <f>VLOOKUP(E47,Link_TAZ_lookup!H:I,2,FALSE)</f>
        <v>4500</v>
      </c>
      <c r="I47" s="23">
        <f t="shared" si="2"/>
        <v>0.12798634812286688</v>
      </c>
    </row>
    <row r="48" spans="1:10" x14ac:dyDescent="0.25">
      <c r="A48" s="12" t="s">
        <v>4</v>
      </c>
      <c r="B48" s="12">
        <v>2</v>
      </c>
      <c r="C48" s="12">
        <v>2</v>
      </c>
      <c r="D48" s="12" t="s">
        <v>37</v>
      </c>
      <c r="E48" s="12">
        <v>11541</v>
      </c>
      <c r="F48" s="36">
        <v>175</v>
      </c>
      <c r="G48" s="26">
        <v>4.9772468714448237E-3</v>
      </c>
      <c r="H48">
        <f>VLOOKUP(E48,Link_TAZ_lookup!H:I,2,FALSE)</f>
        <v>175</v>
      </c>
      <c r="I48" s="23">
        <f t="shared" si="2"/>
        <v>4.9772468714448237E-3</v>
      </c>
    </row>
    <row r="49" spans="1:10" x14ac:dyDescent="0.25">
      <c r="A49" s="12" t="s">
        <v>4</v>
      </c>
      <c r="B49" s="12">
        <v>2</v>
      </c>
      <c r="C49" s="12">
        <v>2</v>
      </c>
      <c r="D49" s="12" t="s">
        <v>23</v>
      </c>
      <c r="E49" s="12">
        <v>11540</v>
      </c>
      <c r="F49" s="36">
        <v>11500</v>
      </c>
      <c r="G49" s="26">
        <v>0.32707622298065986</v>
      </c>
      <c r="H49">
        <f>VLOOKUP(E49,Link_TAZ_lookup!H:I,2,FALSE)</f>
        <v>11500</v>
      </c>
      <c r="I49" s="23">
        <f t="shared" si="2"/>
        <v>0.32707622298065986</v>
      </c>
    </row>
    <row r="50" spans="1:10" x14ac:dyDescent="0.25">
      <c r="A50" s="12" t="s">
        <v>4</v>
      </c>
      <c r="B50" s="12">
        <v>2</v>
      </c>
      <c r="C50" s="12">
        <v>2</v>
      </c>
      <c r="D50" s="12" t="s">
        <v>37</v>
      </c>
      <c r="E50" s="12">
        <v>11539</v>
      </c>
      <c r="F50" s="36">
        <v>1000</v>
      </c>
      <c r="G50" s="26">
        <v>2.844141069397042E-2</v>
      </c>
      <c r="H50" s="32">
        <v>1000</v>
      </c>
      <c r="I50" s="23">
        <f t="shared" si="2"/>
        <v>2.844141069397042E-2</v>
      </c>
    </row>
    <row r="51" spans="1:10" x14ac:dyDescent="0.25">
      <c r="A51" s="12" t="s">
        <v>4</v>
      </c>
      <c r="B51" s="12">
        <v>2</v>
      </c>
      <c r="C51" s="12">
        <v>2</v>
      </c>
      <c r="D51" s="12" t="s">
        <v>22</v>
      </c>
      <c r="E51" s="12">
        <v>11538</v>
      </c>
      <c r="F51" s="36">
        <v>7200</v>
      </c>
      <c r="G51" s="26">
        <v>0.20477815699658702</v>
      </c>
      <c r="H51">
        <f>VLOOKUP(E51,Link_TAZ_lookup!H:I,2,FALSE)</f>
        <v>7200</v>
      </c>
      <c r="I51" s="23">
        <f t="shared" si="2"/>
        <v>0.20477815699658702</v>
      </c>
    </row>
    <row r="52" spans="1:10" x14ac:dyDescent="0.25">
      <c r="A52" s="12" t="s">
        <v>4</v>
      </c>
      <c r="B52" s="12">
        <v>2</v>
      </c>
      <c r="C52" s="12">
        <v>2</v>
      </c>
      <c r="D52" s="12" t="s">
        <v>47</v>
      </c>
      <c r="E52" s="12">
        <v>11537</v>
      </c>
      <c r="F52" s="36">
        <v>500</v>
      </c>
      <c r="G52" s="26">
        <v>1.422070534698521E-2</v>
      </c>
      <c r="H52">
        <f>VLOOKUP(E52,Link_TAZ_lookup!H:I,2,FALSE)</f>
        <v>500</v>
      </c>
      <c r="I52" s="23">
        <f t="shared" si="2"/>
        <v>1.422070534698521E-2</v>
      </c>
    </row>
    <row r="53" spans="1:10" x14ac:dyDescent="0.25">
      <c r="A53" s="12" t="s">
        <v>4</v>
      </c>
      <c r="B53" s="12">
        <v>2</v>
      </c>
      <c r="C53" s="12">
        <v>2</v>
      </c>
      <c r="D53" s="12" t="s">
        <v>21</v>
      </c>
      <c r="E53" s="12">
        <v>11536</v>
      </c>
      <c r="F53" s="36">
        <v>678</v>
      </c>
      <c r="G53" s="26">
        <v>1.9283276450511946E-2</v>
      </c>
      <c r="H53">
        <f>VLOOKUP(E53,Link_TAZ_lookup!H:I,2,FALSE)</f>
        <v>678</v>
      </c>
      <c r="I53" s="23">
        <f t="shared" si="2"/>
        <v>1.9283276450511946E-2</v>
      </c>
    </row>
    <row r="54" spans="1:10" x14ac:dyDescent="0.25">
      <c r="A54" s="12" t="s">
        <v>4</v>
      </c>
      <c r="B54" s="12">
        <v>2</v>
      </c>
      <c r="C54" s="12">
        <v>2</v>
      </c>
      <c r="D54" s="12" t="s">
        <v>37</v>
      </c>
      <c r="E54" s="12">
        <v>11535</v>
      </c>
      <c r="F54" s="36">
        <v>350</v>
      </c>
      <c r="G54" s="26">
        <v>9.9544937428896474E-3</v>
      </c>
      <c r="H54">
        <f>VLOOKUP(E54,Link_TAZ_lookup!H:I,2,FALSE)</f>
        <v>350</v>
      </c>
      <c r="I54" s="23">
        <f t="shared" si="2"/>
        <v>9.9544937428896474E-3</v>
      </c>
    </row>
    <row r="55" spans="1:10" x14ac:dyDescent="0.25">
      <c r="A55" s="12" t="s">
        <v>4</v>
      </c>
      <c r="B55" s="12">
        <v>2</v>
      </c>
      <c r="C55" s="12">
        <v>2</v>
      </c>
      <c r="D55" s="12" t="s">
        <v>37</v>
      </c>
      <c r="E55" s="12">
        <v>11534</v>
      </c>
      <c r="F55" s="36">
        <v>800</v>
      </c>
      <c r="G55" s="26">
        <v>2.2753128555176336E-2</v>
      </c>
      <c r="H55">
        <f>VLOOKUP(E55,Link_TAZ_lookup!H:I,2,FALSE)</f>
        <v>800</v>
      </c>
      <c r="I55" s="23">
        <f t="shared" si="2"/>
        <v>2.2753128555176336E-2</v>
      </c>
    </row>
    <row r="56" spans="1:10" x14ac:dyDescent="0.25">
      <c r="A56" s="12" t="s">
        <v>4</v>
      </c>
      <c r="B56" s="12">
        <v>2</v>
      </c>
      <c r="C56" s="12">
        <v>2</v>
      </c>
      <c r="D56" s="12" t="s">
        <v>17</v>
      </c>
      <c r="E56" s="12">
        <v>11528</v>
      </c>
      <c r="F56" s="36">
        <v>1000</v>
      </c>
      <c r="G56" s="26">
        <v>2.844141069397042E-2</v>
      </c>
      <c r="H56">
        <f>VLOOKUP(E56,Link_TAZ_lookup!H:I,2,FALSE)</f>
        <v>1000</v>
      </c>
      <c r="I56" s="23">
        <f t="shared" si="2"/>
        <v>2.844141069397042E-2</v>
      </c>
    </row>
    <row r="57" spans="1:10" x14ac:dyDescent="0.25">
      <c r="A57" s="1" t="s">
        <v>4</v>
      </c>
      <c r="B57" s="1">
        <v>3</v>
      </c>
      <c r="C57" s="1">
        <v>3</v>
      </c>
      <c r="D57" s="1" t="s">
        <v>33</v>
      </c>
      <c r="E57" s="1">
        <v>11559</v>
      </c>
      <c r="F57" s="37">
        <v>2300</v>
      </c>
      <c r="G57" s="27">
        <v>0.13304795511077688</v>
      </c>
      <c r="H57" s="32">
        <f>VLOOKUP(E57,Link_TAZ_lookup!H:I,2,FALSE)</f>
        <v>2300</v>
      </c>
      <c r="I57" s="23">
        <f>H57/J$57</f>
        <v>0.13304795511077688</v>
      </c>
      <c r="J57">
        <f>SUM(H57:H61)</f>
        <v>17287</v>
      </c>
    </row>
    <row r="58" spans="1:10" x14ac:dyDescent="0.25">
      <c r="A58" s="1" t="s">
        <v>4</v>
      </c>
      <c r="B58" s="1">
        <v>3</v>
      </c>
      <c r="C58" s="1">
        <v>3</v>
      </c>
      <c r="D58" s="1" t="s">
        <v>48</v>
      </c>
      <c r="E58" s="1">
        <v>11558</v>
      </c>
      <c r="F58" s="37">
        <v>10012</v>
      </c>
      <c r="G58" s="27">
        <v>0.57916353329091219</v>
      </c>
      <c r="H58">
        <f>VLOOKUP(E58,Link_TAZ_lookup!H:I,2,FALSE)</f>
        <v>10012</v>
      </c>
      <c r="I58" s="23">
        <f t="shared" ref="I58:I61" si="3">H58/J$57</f>
        <v>0.57916353329091219</v>
      </c>
    </row>
    <row r="59" spans="1:10" x14ac:dyDescent="0.25">
      <c r="A59" s="1" t="s">
        <v>4</v>
      </c>
      <c r="B59" s="1">
        <v>3</v>
      </c>
      <c r="C59" s="1">
        <v>3</v>
      </c>
      <c r="D59" s="1" t="s">
        <v>20</v>
      </c>
      <c r="E59" s="1">
        <v>11557</v>
      </c>
      <c r="F59" s="37">
        <v>1750</v>
      </c>
      <c r="G59" s="27">
        <v>0.10123213975819981</v>
      </c>
      <c r="H59">
        <f>VLOOKUP(E59,Link_TAZ_lookup!H:I,2,FALSE)</f>
        <v>1750</v>
      </c>
      <c r="I59" s="23">
        <f t="shared" si="3"/>
        <v>0.10123213975819981</v>
      </c>
    </row>
    <row r="60" spans="1:10" x14ac:dyDescent="0.25">
      <c r="A60" s="1" t="s">
        <v>4</v>
      </c>
      <c r="B60" s="1">
        <v>3</v>
      </c>
      <c r="C60" s="1">
        <v>3</v>
      </c>
      <c r="D60" s="1" t="s">
        <v>37</v>
      </c>
      <c r="E60" s="1">
        <v>11556</v>
      </c>
      <c r="F60" s="37">
        <v>3000</v>
      </c>
      <c r="G60" s="27">
        <v>0.1735408110140568</v>
      </c>
      <c r="H60" s="32">
        <v>3000</v>
      </c>
      <c r="I60" s="23">
        <f t="shared" si="3"/>
        <v>0.1735408110140568</v>
      </c>
    </row>
    <row r="61" spans="1:10" x14ac:dyDescent="0.25">
      <c r="A61" s="1" t="s">
        <v>4</v>
      </c>
      <c r="B61" s="1">
        <v>3</v>
      </c>
      <c r="C61" s="1">
        <v>3</v>
      </c>
      <c r="D61" s="1" t="s">
        <v>37</v>
      </c>
      <c r="E61" s="1">
        <v>11555</v>
      </c>
      <c r="F61" s="37">
        <v>225</v>
      </c>
      <c r="G61" s="27">
        <v>1.301556082605426E-2</v>
      </c>
      <c r="H61">
        <f>VLOOKUP(E61,Link_TAZ_lookup!H:I,2,FALSE)</f>
        <v>225</v>
      </c>
      <c r="I61" s="23">
        <f t="shared" si="3"/>
        <v>1.301556082605426E-2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5780-90C3-4BDC-9681-C7F7A53E746F}">
  <dimension ref="A1:I64"/>
  <sheetViews>
    <sheetView workbookViewId="0">
      <selection activeCell="H3" sqref="H3:I55"/>
      <pivotSelection pane="bottomRight" showHeader="1" extendable="1" axis="axisRow" max="55" activeRow="2" activeCol="7" previousRow="54" previousCol="7" click="1" r:id="rId1">
        <pivotArea dataOnly="0" axis="axisRow" fieldPosition="0">
          <references count="1">
            <reference field="1" count="5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</reference>
          </references>
        </pivotArea>
      </pivotSelection>
    </sheetView>
  </sheetViews>
  <sheetFormatPr defaultRowHeight="15" x14ac:dyDescent="0.25"/>
  <cols>
    <col min="4" max="4" width="11.42578125" customWidth="1"/>
    <col min="5" max="5" width="15.140625" customWidth="1"/>
    <col min="8" max="8" width="13.140625" bestFit="1" customWidth="1"/>
    <col min="9" max="9" width="17.28515625" bestFit="1" customWidth="1"/>
  </cols>
  <sheetData>
    <row r="1" spans="1:9" x14ac:dyDescent="0.25">
      <c r="A1" s="28" t="s">
        <v>52</v>
      </c>
      <c r="B1" s="28" t="s">
        <v>53</v>
      </c>
      <c r="C1" s="28" t="s">
        <v>54</v>
      </c>
      <c r="D1" s="28" t="s">
        <v>55</v>
      </c>
      <c r="E1" s="28" t="s">
        <v>56</v>
      </c>
    </row>
    <row r="2" spans="1:9" x14ac:dyDescent="0.25">
      <c r="A2" s="28">
        <v>100009</v>
      </c>
      <c r="B2" s="28">
        <v>290090</v>
      </c>
      <c r="C2" s="28">
        <v>375</v>
      </c>
      <c r="D2" s="28">
        <v>375</v>
      </c>
      <c r="E2" s="28">
        <v>11553</v>
      </c>
      <c r="H2" s="29" t="s">
        <v>57</v>
      </c>
      <c r="I2" t="s">
        <v>60</v>
      </c>
    </row>
    <row r="3" spans="1:9" x14ac:dyDescent="0.25">
      <c r="A3" s="28">
        <v>100010</v>
      </c>
      <c r="B3" s="28">
        <v>740156</v>
      </c>
      <c r="C3" s="28">
        <v>1750</v>
      </c>
      <c r="D3" s="28">
        <v>1750</v>
      </c>
      <c r="E3" s="28">
        <v>11557</v>
      </c>
      <c r="H3" s="30">
        <v>11501</v>
      </c>
      <c r="I3" s="31">
        <v>7500</v>
      </c>
    </row>
    <row r="4" spans="1:9" x14ac:dyDescent="0.25">
      <c r="A4" s="28">
        <v>135882</v>
      </c>
      <c r="B4" s="28">
        <v>500237</v>
      </c>
      <c r="C4" s="28">
        <v>500</v>
      </c>
      <c r="D4" s="28">
        <v>500</v>
      </c>
      <c r="E4" s="28">
        <v>11537</v>
      </c>
      <c r="H4" s="30">
        <v>11502</v>
      </c>
      <c r="I4" s="31">
        <v>7388</v>
      </c>
    </row>
    <row r="5" spans="1:9" x14ac:dyDescent="0.25">
      <c r="A5" s="28">
        <v>195041</v>
      </c>
      <c r="B5" s="28">
        <v>600131</v>
      </c>
      <c r="C5" s="28">
        <v>1450</v>
      </c>
      <c r="D5" s="28">
        <v>1450</v>
      </c>
      <c r="E5" s="28">
        <v>11515</v>
      </c>
      <c r="H5" s="30">
        <v>11503</v>
      </c>
      <c r="I5" s="31">
        <v>3496</v>
      </c>
    </row>
    <row r="6" spans="1:9" x14ac:dyDescent="0.25">
      <c r="A6" s="28">
        <v>202797</v>
      </c>
      <c r="B6" s="28">
        <v>520077</v>
      </c>
      <c r="C6" s="28">
        <v>850</v>
      </c>
      <c r="D6" s="28">
        <v>850</v>
      </c>
      <c r="E6" s="28">
        <v>11520</v>
      </c>
      <c r="H6" s="30">
        <v>11504</v>
      </c>
      <c r="I6" s="31">
        <v>36000</v>
      </c>
    </row>
    <row r="7" spans="1:9" x14ac:dyDescent="0.25">
      <c r="A7" s="28">
        <v>202812</v>
      </c>
      <c r="B7" s="28">
        <v>520187</v>
      </c>
      <c r="C7" s="28">
        <v>475</v>
      </c>
      <c r="D7" s="28">
        <v>475</v>
      </c>
      <c r="E7" s="28">
        <v>11521</v>
      </c>
      <c r="H7" s="30">
        <v>11505</v>
      </c>
      <c r="I7" s="31">
        <v>2150</v>
      </c>
    </row>
    <row r="8" spans="1:9" x14ac:dyDescent="0.25">
      <c r="A8" s="28">
        <v>204900</v>
      </c>
      <c r="B8" s="28">
        <v>359118</v>
      </c>
      <c r="C8" s="28">
        <v>225</v>
      </c>
      <c r="D8" s="28">
        <v>225</v>
      </c>
      <c r="E8" s="28">
        <v>11545</v>
      </c>
      <c r="H8" s="30">
        <v>11507</v>
      </c>
      <c r="I8" s="31">
        <v>2938</v>
      </c>
    </row>
    <row r="9" spans="1:9" x14ac:dyDescent="0.25">
      <c r="A9" s="28">
        <v>204990</v>
      </c>
      <c r="B9" s="28">
        <v>350092</v>
      </c>
      <c r="C9" s="28">
        <v>1900</v>
      </c>
      <c r="D9" s="28">
        <v>1900</v>
      </c>
      <c r="E9" s="28">
        <v>11547</v>
      </c>
      <c r="H9" s="30">
        <v>11508</v>
      </c>
      <c r="I9" s="31">
        <v>800</v>
      </c>
    </row>
    <row r="10" spans="1:9" x14ac:dyDescent="0.25">
      <c r="A10" s="28">
        <v>205297</v>
      </c>
      <c r="B10" s="28">
        <v>530247</v>
      </c>
      <c r="C10" s="28">
        <v>1476</v>
      </c>
      <c r="D10" s="28">
        <v>1476</v>
      </c>
      <c r="E10" s="28">
        <v>11527</v>
      </c>
      <c r="H10" s="30">
        <v>11509</v>
      </c>
      <c r="I10" s="31">
        <v>5750</v>
      </c>
    </row>
    <row r="11" spans="1:9" x14ac:dyDescent="0.25">
      <c r="A11" s="28">
        <v>205587</v>
      </c>
      <c r="B11" s="28">
        <v>520016</v>
      </c>
      <c r="C11" s="28">
        <v>2050</v>
      </c>
      <c r="D11" s="28">
        <v>2050</v>
      </c>
      <c r="E11" s="28">
        <v>11525</v>
      </c>
      <c r="H11" s="30">
        <v>11510</v>
      </c>
      <c r="I11" s="31">
        <v>575</v>
      </c>
    </row>
    <row r="12" spans="1:9" x14ac:dyDescent="0.25">
      <c r="A12" s="28">
        <v>207743</v>
      </c>
      <c r="B12" s="28">
        <v>570001</v>
      </c>
      <c r="C12" s="28">
        <v>2000</v>
      </c>
      <c r="D12" s="28">
        <v>2000</v>
      </c>
      <c r="E12" s="28">
        <v>11513</v>
      </c>
      <c r="H12" s="30">
        <v>11512</v>
      </c>
      <c r="I12" s="31">
        <v>2025</v>
      </c>
    </row>
    <row r="13" spans="1:9" x14ac:dyDescent="0.25">
      <c r="A13" s="28">
        <v>212772</v>
      </c>
      <c r="B13" s="28">
        <v>500306</v>
      </c>
      <c r="C13" s="28">
        <v>350</v>
      </c>
      <c r="D13" s="28">
        <v>350</v>
      </c>
      <c r="E13" s="28">
        <v>11535</v>
      </c>
      <c r="H13" s="30">
        <v>11513</v>
      </c>
      <c r="I13" s="31">
        <v>2000</v>
      </c>
    </row>
    <row r="14" spans="1:9" x14ac:dyDescent="0.25">
      <c r="A14" s="28">
        <v>212849</v>
      </c>
      <c r="B14" s="28">
        <v>500281</v>
      </c>
      <c r="C14" s="28">
        <v>678</v>
      </c>
      <c r="D14" s="28">
        <v>678</v>
      </c>
      <c r="E14" s="28">
        <v>11536</v>
      </c>
      <c r="H14" s="30">
        <v>11514</v>
      </c>
      <c r="I14" s="31">
        <v>2000</v>
      </c>
    </row>
    <row r="15" spans="1:9" x14ac:dyDescent="0.25">
      <c r="A15" s="28">
        <v>213965</v>
      </c>
      <c r="B15" s="28">
        <v>505042</v>
      </c>
      <c r="C15" s="28">
        <v>425</v>
      </c>
      <c r="D15" s="28">
        <v>425</v>
      </c>
      <c r="E15" s="28">
        <v>11534</v>
      </c>
      <c r="H15" s="30">
        <v>11515</v>
      </c>
      <c r="I15" s="31">
        <v>1450</v>
      </c>
    </row>
    <row r="16" spans="1:9" x14ac:dyDescent="0.25">
      <c r="A16" s="28">
        <v>219862</v>
      </c>
      <c r="B16" s="28">
        <v>480243</v>
      </c>
      <c r="C16" s="28">
        <v>2938</v>
      </c>
      <c r="D16" s="28">
        <v>2938</v>
      </c>
      <c r="E16" s="28">
        <v>11507</v>
      </c>
      <c r="H16" s="30">
        <v>11516</v>
      </c>
      <c r="I16" s="31">
        <v>2557</v>
      </c>
    </row>
    <row r="17" spans="1:9" x14ac:dyDescent="0.25">
      <c r="A17" s="28">
        <v>219917</v>
      </c>
      <c r="B17" s="28">
        <v>320020</v>
      </c>
      <c r="C17" s="28">
        <v>800</v>
      </c>
      <c r="D17" s="28">
        <v>800</v>
      </c>
      <c r="E17" s="28">
        <v>11551</v>
      </c>
      <c r="H17" s="30">
        <v>11517</v>
      </c>
      <c r="I17" s="31">
        <v>2000</v>
      </c>
    </row>
    <row r="18" spans="1:9" x14ac:dyDescent="0.25">
      <c r="A18" s="28">
        <v>220437</v>
      </c>
      <c r="B18" s="28">
        <v>530311</v>
      </c>
      <c r="C18" s="28">
        <v>500</v>
      </c>
      <c r="D18" s="28">
        <v>500</v>
      </c>
      <c r="E18" s="28">
        <v>11532</v>
      </c>
      <c r="H18" s="30">
        <v>11518</v>
      </c>
      <c r="I18" s="31">
        <v>1300</v>
      </c>
    </row>
    <row r="19" spans="1:9" x14ac:dyDescent="0.25">
      <c r="A19" s="28">
        <v>221557</v>
      </c>
      <c r="B19" s="28">
        <v>570054</v>
      </c>
      <c r="C19" s="28">
        <v>2000</v>
      </c>
      <c r="D19" s="28">
        <v>2000</v>
      </c>
      <c r="E19" s="28">
        <v>11514</v>
      </c>
      <c r="H19" s="30">
        <v>11519</v>
      </c>
      <c r="I19" s="31">
        <v>800</v>
      </c>
    </row>
    <row r="20" spans="1:9" x14ac:dyDescent="0.25">
      <c r="A20" s="28">
        <v>223243</v>
      </c>
      <c r="B20" s="28">
        <v>500045</v>
      </c>
      <c r="C20" s="28">
        <v>3600</v>
      </c>
      <c r="D20" s="28">
        <v>3600</v>
      </c>
      <c r="E20" s="28">
        <v>11538</v>
      </c>
      <c r="H20" s="30">
        <v>11520</v>
      </c>
      <c r="I20" s="31">
        <v>850</v>
      </c>
    </row>
    <row r="21" spans="1:9" x14ac:dyDescent="0.25">
      <c r="A21" s="28">
        <v>224484</v>
      </c>
      <c r="B21" s="28">
        <v>520041</v>
      </c>
      <c r="C21" s="28">
        <v>800</v>
      </c>
      <c r="D21" s="28">
        <v>800</v>
      </c>
      <c r="E21" s="28">
        <v>11526</v>
      </c>
      <c r="H21" s="30">
        <v>11521</v>
      </c>
      <c r="I21" s="31">
        <v>475</v>
      </c>
    </row>
    <row r="22" spans="1:9" x14ac:dyDescent="0.25">
      <c r="A22" s="28">
        <v>229268</v>
      </c>
      <c r="B22" s="28">
        <v>505002</v>
      </c>
      <c r="C22" s="28">
        <v>375</v>
      </c>
      <c r="D22" s="28">
        <v>375</v>
      </c>
      <c r="E22" s="28">
        <v>11534</v>
      </c>
      <c r="H22" s="30">
        <v>11522</v>
      </c>
      <c r="I22" s="31">
        <v>275</v>
      </c>
    </row>
    <row r="23" spans="1:9" x14ac:dyDescent="0.25">
      <c r="A23" s="28">
        <v>229310</v>
      </c>
      <c r="B23" s="28">
        <v>530356</v>
      </c>
      <c r="C23" s="28">
        <v>375</v>
      </c>
      <c r="D23" s="28">
        <v>375</v>
      </c>
      <c r="E23" s="28">
        <v>11530</v>
      </c>
      <c r="H23" s="30">
        <v>11523</v>
      </c>
      <c r="I23" s="31">
        <v>350</v>
      </c>
    </row>
    <row r="24" spans="1:9" x14ac:dyDescent="0.25">
      <c r="A24" s="28">
        <v>238453</v>
      </c>
      <c r="B24" s="28">
        <v>520114</v>
      </c>
      <c r="C24" s="28">
        <v>350</v>
      </c>
      <c r="D24" s="28">
        <v>350</v>
      </c>
      <c r="E24" s="28">
        <v>11523</v>
      </c>
      <c r="H24" s="30">
        <v>11524</v>
      </c>
      <c r="I24" s="31">
        <v>275</v>
      </c>
    </row>
    <row r="25" spans="1:9" x14ac:dyDescent="0.25">
      <c r="A25" s="28">
        <v>243226</v>
      </c>
      <c r="B25" s="28">
        <v>740132</v>
      </c>
      <c r="C25" s="28">
        <v>37818</v>
      </c>
      <c r="D25" s="28">
        <v>37818</v>
      </c>
      <c r="E25" s="28">
        <v>11560</v>
      </c>
      <c r="H25" s="30">
        <v>11525</v>
      </c>
      <c r="I25" s="31">
        <v>2050</v>
      </c>
    </row>
    <row r="26" spans="1:9" x14ac:dyDescent="0.25">
      <c r="A26" s="28">
        <v>243973</v>
      </c>
      <c r="B26" s="28">
        <v>270053</v>
      </c>
      <c r="C26" s="28">
        <v>225</v>
      </c>
      <c r="D26" s="28">
        <v>225</v>
      </c>
      <c r="E26" s="28">
        <v>11555</v>
      </c>
      <c r="H26" s="30">
        <v>11526</v>
      </c>
      <c r="I26" s="31">
        <v>800</v>
      </c>
    </row>
    <row r="27" spans="1:9" x14ac:dyDescent="0.25">
      <c r="A27" s="28">
        <v>244397</v>
      </c>
      <c r="B27" s="28">
        <v>520191</v>
      </c>
      <c r="C27" s="28">
        <v>275</v>
      </c>
      <c r="D27" s="28">
        <v>275</v>
      </c>
      <c r="E27" s="28">
        <v>11524</v>
      </c>
      <c r="H27" s="30">
        <v>11527</v>
      </c>
      <c r="I27" s="31">
        <v>1476</v>
      </c>
    </row>
    <row r="28" spans="1:9" x14ac:dyDescent="0.25">
      <c r="A28" s="28">
        <v>245751</v>
      </c>
      <c r="B28" s="28">
        <v>320202</v>
      </c>
      <c r="C28" s="28">
        <v>632</v>
      </c>
      <c r="D28" s="28">
        <v>632</v>
      </c>
      <c r="E28" s="28">
        <v>11552</v>
      </c>
      <c r="H28" s="30">
        <v>11528</v>
      </c>
      <c r="I28" s="31">
        <v>1000</v>
      </c>
    </row>
    <row r="29" spans="1:9" x14ac:dyDescent="0.25">
      <c r="A29" s="28">
        <v>247481</v>
      </c>
      <c r="B29" s="28">
        <v>350017</v>
      </c>
      <c r="C29" s="28">
        <v>500</v>
      </c>
      <c r="D29" s="28">
        <v>500</v>
      </c>
      <c r="E29" s="28">
        <v>11546</v>
      </c>
      <c r="H29" s="30">
        <v>11529</v>
      </c>
      <c r="I29" s="31">
        <v>15876</v>
      </c>
    </row>
    <row r="30" spans="1:9" x14ac:dyDescent="0.25">
      <c r="A30" s="28">
        <v>249738</v>
      </c>
      <c r="B30" s="28">
        <v>500238</v>
      </c>
      <c r="C30" s="28">
        <v>1000</v>
      </c>
      <c r="D30" s="28">
        <v>1000</v>
      </c>
      <c r="E30" s="28">
        <v>11528</v>
      </c>
      <c r="H30" s="30">
        <v>11530</v>
      </c>
      <c r="I30" s="31">
        <v>375</v>
      </c>
    </row>
    <row r="31" spans="1:9" x14ac:dyDescent="0.25">
      <c r="A31" s="28">
        <v>258601</v>
      </c>
      <c r="B31" s="28">
        <v>320112</v>
      </c>
      <c r="C31" s="28">
        <v>24027</v>
      </c>
      <c r="D31" s="28">
        <v>24027</v>
      </c>
      <c r="E31" s="28">
        <v>11548</v>
      </c>
      <c r="H31" s="30">
        <v>11531</v>
      </c>
      <c r="I31" s="31">
        <v>1050</v>
      </c>
    </row>
    <row r="32" spans="1:9" x14ac:dyDescent="0.25">
      <c r="A32" s="28">
        <v>258602</v>
      </c>
      <c r="B32" s="28">
        <v>320112</v>
      </c>
      <c r="C32" s="28">
        <v>24027</v>
      </c>
      <c r="D32" s="28">
        <v>24027</v>
      </c>
      <c r="E32" s="28">
        <v>11548</v>
      </c>
      <c r="H32" s="30">
        <v>11532</v>
      </c>
      <c r="I32" s="31">
        <v>500</v>
      </c>
    </row>
    <row r="33" spans="1:9" x14ac:dyDescent="0.25">
      <c r="A33" s="28">
        <v>258804</v>
      </c>
      <c r="B33" s="28">
        <v>580194</v>
      </c>
      <c r="C33" s="28">
        <v>575</v>
      </c>
      <c r="D33" s="28">
        <v>575</v>
      </c>
      <c r="E33" s="28">
        <v>11510</v>
      </c>
      <c r="H33" s="30">
        <v>11533</v>
      </c>
      <c r="I33" s="31">
        <v>550</v>
      </c>
    </row>
    <row r="34" spans="1:9" x14ac:dyDescent="0.25">
      <c r="A34" s="28">
        <v>260600</v>
      </c>
      <c r="B34" s="28">
        <v>740132</v>
      </c>
      <c r="C34" s="28">
        <v>37818</v>
      </c>
      <c r="D34" s="28">
        <v>37818</v>
      </c>
      <c r="E34" s="28">
        <v>11560</v>
      </c>
      <c r="H34" s="30">
        <v>11534</v>
      </c>
      <c r="I34" s="31">
        <v>800</v>
      </c>
    </row>
    <row r="35" spans="1:9" x14ac:dyDescent="0.25">
      <c r="A35" s="28">
        <v>263346</v>
      </c>
      <c r="B35" s="28">
        <v>480498</v>
      </c>
      <c r="C35" s="28">
        <v>800</v>
      </c>
      <c r="D35" s="28">
        <v>800</v>
      </c>
      <c r="E35" s="28">
        <v>11508</v>
      </c>
      <c r="H35" s="30">
        <v>11535</v>
      </c>
      <c r="I35" s="31">
        <v>350</v>
      </c>
    </row>
    <row r="36" spans="1:9" x14ac:dyDescent="0.25">
      <c r="A36" s="28">
        <v>268878</v>
      </c>
      <c r="B36" s="28">
        <v>550392</v>
      </c>
      <c r="C36" s="28">
        <v>5750</v>
      </c>
      <c r="D36" s="28">
        <v>5750</v>
      </c>
      <c r="E36" s="28">
        <v>11540</v>
      </c>
      <c r="H36" s="30">
        <v>11536</v>
      </c>
      <c r="I36" s="31">
        <v>678</v>
      </c>
    </row>
    <row r="37" spans="1:9" x14ac:dyDescent="0.25">
      <c r="A37" s="28">
        <v>268880</v>
      </c>
      <c r="B37" s="28">
        <v>550392</v>
      </c>
      <c r="C37" s="28">
        <v>5750</v>
      </c>
      <c r="D37" s="28">
        <v>5750</v>
      </c>
      <c r="E37" s="28">
        <v>11540</v>
      </c>
      <c r="H37" s="30">
        <v>11537</v>
      </c>
      <c r="I37" s="31">
        <v>500</v>
      </c>
    </row>
    <row r="38" spans="1:9" x14ac:dyDescent="0.25">
      <c r="A38" s="28">
        <v>268886</v>
      </c>
      <c r="B38" s="28">
        <v>480003</v>
      </c>
      <c r="C38" s="28">
        <v>5750</v>
      </c>
      <c r="D38" s="28">
        <v>5750</v>
      </c>
      <c r="E38" s="28">
        <v>11509</v>
      </c>
      <c r="H38" s="30">
        <v>11538</v>
      </c>
      <c r="I38" s="31">
        <v>7200</v>
      </c>
    </row>
    <row r="39" spans="1:9" x14ac:dyDescent="0.25">
      <c r="A39" s="28">
        <v>268924</v>
      </c>
      <c r="B39" s="28">
        <v>740162</v>
      </c>
      <c r="C39" s="28">
        <v>2300</v>
      </c>
      <c r="D39" s="28">
        <v>2300</v>
      </c>
      <c r="E39" s="28">
        <v>11559</v>
      </c>
      <c r="H39" s="30">
        <v>11540</v>
      </c>
      <c r="I39" s="31">
        <v>11500</v>
      </c>
    </row>
    <row r="40" spans="1:9" x14ac:dyDescent="0.25">
      <c r="A40" s="28">
        <v>270379</v>
      </c>
      <c r="B40" s="28">
        <v>540237</v>
      </c>
      <c r="C40" s="28">
        <v>675</v>
      </c>
      <c r="D40" s="28">
        <v>675</v>
      </c>
      <c r="E40" s="28">
        <v>11544</v>
      </c>
      <c r="H40" s="30">
        <v>11541</v>
      </c>
      <c r="I40" s="31">
        <v>175</v>
      </c>
    </row>
    <row r="41" spans="1:9" x14ac:dyDescent="0.25">
      <c r="A41" s="28">
        <v>270505</v>
      </c>
      <c r="B41" s="28">
        <v>520001</v>
      </c>
      <c r="C41" s="28">
        <v>800</v>
      </c>
      <c r="D41" s="28">
        <v>800</v>
      </c>
      <c r="E41" s="28">
        <v>11519</v>
      </c>
      <c r="H41" s="30">
        <v>11542</v>
      </c>
      <c r="I41" s="31">
        <v>4500</v>
      </c>
    </row>
    <row r="42" spans="1:9" x14ac:dyDescent="0.25">
      <c r="A42" s="28">
        <v>271613</v>
      </c>
      <c r="B42" s="28">
        <v>530050</v>
      </c>
      <c r="C42" s="28">
        <v>7938</v>
      </c>
      <c r="D42" s="28">
        <v>7938</v>
      </c>
      <c r="E42" s="28">
        <v>11529</v>
      </c>
      <c r="H42" s="30">
        <v>11543</v>
      </c>
      <c r="I42" s="31">
        <v>250</v>
      </c>
    </row>
    <row r="43" spans="1:9" x14ac:dyDescent="0.25">
      <c r="A43" s="28">
        <v>271614</v>
      </c>
      <c r="B43" s="28">
        <v>530050</v>
      </c>
      <c r="C43" s="28">
        <v>7938</v>
      </c>
      <c r="D43" s="28">
        <v>7938</v>
      </c>
      <c r="E43" s="28">
        <v>11529</v>
      </c>
      <c r="H43" s="30">
        <v>11544</v>
      </c>
      <c r="I43" s="31">
        <v>675</v>
      </c>
    </row>
    <row r="44" spans="1:9" x14ac:dyDescent="0.25">
      <c r="A44" s="28">
        <v>271752</v>
      </c>
      <c r="B44" s="28">
        <v>500045</v>
      </c>
      <c r="C44" s="28">
        <v>3600</v>
      </c>
      <c r="D44" s="28">
        <v>3600</v>
      </c>
      <c r="E44" s="28">
        <v>11538</v>
      </c>
      <c r="H44" s="30">
        <v>11545</v>
      </c>
      <c r="I44" s="31">
        <v>225</v>
      </c>
    </row>
    <row r="45" spans="1:9" x14ac:dyDescent="0.25">
      <c r="A45" s="28">
        <v>309558</v>
      </c>
      <c r="B45" s="28">
        <v>609959</v>
      </c>
      <c r="C45" s="28">
        <v>2557</v>
      </c>
      <c r="D45" s="28">
        <v>2557</v>
      </c>
      <c r="E45" s="28">
        <v>11516</v>
      </c>
      <c r="H45" s="30">
        <v>11546</v>
      </c>
      <c r="I45" s="31">
        <v>500</v>
      </c>
    </row>
    <row r="46" spans="1:9" x14ac:dyDescent="0.25">
      <c r="A46" s="28">
        <v>309759</v>
      </c>
      <c r="B46" s="28">
        <v>600272</v>
      </c>
      <c r="C46" s="28">
        <v>2000</v>
      </c>
      <c r="D46" s="28">
        <v>2000</v>
      </c>
      <c r="E46" s="28">
        <v>11517</v>
      </c>
      <c r="H46" s="30">
        <v>11547</v>
      </c>
      <c r="I46" s="31">
        <v>1900</v>
      </c>
    </row>
    <row r="47" spans="1:9" x14ac:dyDescent="0.25">
      <c r="A47" s="28">
        <v>310258</v>
      </c>
      <c r="B47" s="28">
        <v>740047</v>
      </c>
      <c r="C47" s="28">
        <v>5006</v>
      </c>
      <c r="D47" s="28">
        <v>5006</v>
      </c>
      <c r="E47" s="28">
        <v>11558</v>
      </c>
      <c r="H47" s="30">
        <v>11548</v>
      </c>
      <c r="I47" s="31">
        <v>48054</v>
      </c>
    </row>
    <row r="48" spans="1:9" x14ac:dyDescent="0.25">
      <c r="A48" s="28">
        <v>310260</v>
      </c>
      <c r="B48" s="28">
        <v>740047</v>
      </c>
      <c r="C48" s="28">
        <v>5006</v>
      </c>
      <c r="D48" s="28">
        <v>5006</v>
      </c>
      <c r="E48" s="28">
        <v>11558</v>
      </c>
      <c r="H48" s="30">
        <v>11551</v>
      </c>
      <c r="I48" s="31">
        <v>800</v>
      </c>
    </row>
    <row r="49" spans="1:9" x14ac:dyDescent="0.25">
      <c r="A49" s="28">
        <v>326665</v>
      </c>
      <c r="B49" s="28">
        <v>600243</v>
      </c>
      <c r="C49" s="28">
        <v>1300</v>
      </c>
      <c r="D49" s="28">
        <v>1300</v>
      </c>
      <c r="E49" s="28">
        <v>11518</v>
      </c>
      <c r="H49" s="30">
        <v>11552</v>
      </c>
      <c r="I49" s="31">
        <v>632</v>
      </c>
    </row>
    <row r="50" spans="1:9" x14ac:dyDescent="0.25">
      <c r="A50" s="28">
        <v>349526</v>
      </c>
      <c r="B50" s="28">
        <v>530342</v>
      </c>
      <c r="C50" s="28">
        <v>550</v>
      </c>
      <c r="D50" s="28">
        <v>550</v>
      </c>
      <c r="E50" s="28">
        <v>11533</v>
      </c>
      <c r="H50" s="30">
        <v>11553</v>
      </c>
      <c r="I50" s="31">
        <v>375</v>
      </c>
    </row>
    <row r="51" spans="1:9" x14ac:dyDescent="0.25">
      <c r="A51" s="28">
        <v>254288</v>
      </c>
      <c r="B51" s="28">
        <v>530161</v>
      </c>
      <c r="C51" s="28">
        <v>1050</v>
      </c>
      <c r="D51" s="28">
        <v>1050</v>
      </c>
      <c r="E51" s="28">
        <v>11531</v>
      </c>
      <c r="H51" s="30">
        <v>11555</v>
      </c>
      <c r="I51" s="31">
        <v>225</v>
      </c>
    </row>
    <row r="52" spans="1:9" x14ac:dyDescent="0.25">
      <c r="A52" s="28">
        <v>325981</v>
      </c>
      <c r="B52" s="28">
        <v>520196</v>
      </c>
      <c r="C52" s="28">
        <v>275</v>
      </c>
      <c r="D52" s="28">
        <v>275</v>
      </c>
      <c r="E52" s="28">
        <v>11522</v>
      </c>
      <c r="H52" s="30">
        <v>11557</v>
      </c>
      <c r="I52" s="31">
        <v>1750</v>
      </c>
    </row>
    <row r="53" spans="1:9" x14ac:dyDescent="0.25">
      <c r="A53" s="28">
        <v>257593</v>
      </c>
      <c r="B53" s="28">
        <v>580096</v>
      </c>
      <c r="C53" s="28">
        <v>225</v>
      </c>
      <c r="D53" s="28">
        <v>225</v>
      </c>
      <c r="E53" s="28">
        <v>11512</v>
      </c>
      <c r="H53" s="30">
        <v>11558</v>
      </c>
      <c r="I53" s="31">
        <v>10012</v>
      </c>
    </row>
    <row r="54" spans="1:9" x14ac:dyDescent="0.25">
      <c r="A54" s="28">
        <v>221795</v>
      </c>
      <c r="B54" s="28">
        <v>580109</v>
      </c>
      <c r="C54" s="28">
        <v>1800</v>
      </c>
      <c r="D54" s="28">
        <v>1800</v>
      </c>
      <c r="E54" s="28">
        <v>11512</v>
      </c>
      <c r="H54" s="30">
        <v>11559</v>
      </c>
      <c r="I54" s="31">
        <v>2300</v>
      </c>
    </row>
    <row r="55" spans="1:9" x14ac:dyDescent="0.25">
      <c r="A55" s="28">
        <v>260444</v>
      </c>
      <c r="B55" s="28">
        <v>480501</v>
      </c>
      <c r="C55" s="28">
        <v>2150</v>
      </c>
      <c r="D55" s="28">
        <v>2150</v>
      </c>
      <c r="E55" s="28">
        <v>11505</v>
      </c>
      <c r="H55" s="30">
        <v>11560</v>
      </c>
      <c r="I55" s="31">
        <v>75636</v>
      </c>
    </row>
    <row r="56" spans="1:9" x14ac:dyDescent="0.25">
      <c r="A56" s="28">
        <v>261258</v>
      </c>
      <c r="B56" s="28">
        <v>482001</v>
      </c>
      <c r="C56" s="28">
        <v>18000</v>
      </c>
      <c r="D56" s="28">
        <v>18000</v>
      </c>
      <c r="E56" s="28">
        <v>11504</v>
      </c>
      <c r="H56" s="30" t="s">
        <v>58</v>
      </c>
      <c r="I56" s="31"/>
    </row>
    <row r="57" spans="1:9" x14ac:dyDescent="0.25">
      <c r="A57" s="28">
        <v>348182</v>
      </c>
      <c r="B57" s="28">
        <v>482001</v>
      </c>
      <c r="C57" s="28">
        <v>18000</v>
      </c>
      <c r="D57" s="28">
        <v>18000</v>
      </c>
      <c r="E57" s="28">
        <v>11504</v>
      </c>
      <c r="H57" s="30" t="s">
        <v>59</v>
      </c>
      <c r="I57" s="31">
        <v>275668</v>
      </c>
    </row>
    <row r="58" spans="1:9" x14ac:dyDescent="0.25">
      <c r="A58" s="28">
        <v>355262</v>
      </c>
      <c r="B58" s="28">
        <v>480048</v>
      </c>
      <c r="C58" s="28">
        <v>3496</v>
      </c>
      <c r="D58" s="28">
        <v>3496</v>
      </c>
      <c r="E58" s="28">
        <v>11503</v>
      </c>
    </row>
    <row r="59" spans="1:9" x14ac:dyDescent="0.25">
      <c r="A59" s="28">
        <v>196791</v>
      </c>
      <c r="B59" s="28">
        <v>480325</v>
      </c>
      <c r="C59" s="28">
        <v>7388</v>
      </c>
      <c r="D59" s="28">
        <v>7388</v>
      </c>
      <c r="E59" s="28">
        <v>11502</v>
      </c>
    </row>
    <row r="60" spans="1:9" x14ac:dyDescent="0.25">
      <c r="A60" s="28">
        <v>259683</v>
      </c>
      <c r="B60" s="28">
        <v>480461</v>
      </c>
      <c r="C60" s="28">
        <v>7500</v>
      </c>
      <c r="D60" s="28">
        <v>7500</v>
      </c>
      <c r="E60" s="28">
        <v>11501</v>
      </c>
    </row>
    <row r="61" spans="1:9" x14ac:dyDescent="0.25">
      <c r="A61" s="28">
        <v>191934</v>
      </c>
      <c r="B61" s="28">
        <v>550001</v>
      </c>
      <c r="C61" s="28">
        <v>175</v>
      </c>
      <c r="D61" s="28">
        <v>175</v>
      </c>
      <c r="E61" s="28">
        <v>11541</v>
      </c>
    </row>
    <row r="62" spans="1:9" x14ac:dyDescent="0.25">
      <c r="A62" s="28">
        <v>243988</v>
      </c>
      <c r="B62" s="28">
        <v>540002</v>
      </c>
      <c r="C62" s="28">
        <v>2250</v>
      </c>
      <c r="D62" s="28">
        <v>2250</v>
      </c>
      <c r="E62" s="28">
        <v>11542</v>
      </c>
    </row>
    <row r="63" spans="1:9" x14ac:dyDescent="0.25">
      <c r="A63" s="28">
        <v>243989</v>
      </c>
      <c r="B63" s="28">
        <v>540002</v>
      </c>
      <c r="C63" s="28">
        <v>2250</v>
      </c>
      <c r="D63" s="28">
        <v>2250</v>
      </c>
      <c r="E63" s="28">
        <v>11542</v>
      </c>
    </row>
    <row r="64" spans="1:9" x14ac:dyDescent="0.25">
      <c r="A64" s="28">
        <v>136153</v>
      </c>
      <c r="B64" s="28">
        <v>540222</v>
      </c>
      <c r="C64" s="28">
        <v>250</v>
      </c>
      <c r="D64" s="28">
        <v>250</v>
      </c>
      <c r="E64" s="28">
        <v>11543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>
        <v>7656</v>
      </c>
      <c r="D2">
        <v>0.3811681772406848</v>
      </c>
    </row>
    <row r="3" spans="1:4" x14ac:dyDescent="0.25">
      <c r="A3" t="s">
        <v>5</v>
      </c>
      <c r="B3">
        <v>1</v>
      </c>
      <c r="C3">
        <v>8237</v>
      </c>
      <c r="D3">
        <v>0.61883182275931525</v>
      </c>
    </row>
    <row r="4" spans="1:4" x14ac:dyDescent="0.25">
      <c r="A4" t="s">
        <v>5</v>
      </c>
      <c r="B4">
        <v>2</v>
      </c>
      <c r="C4">
        <v>6429</v>
      </c>
      <c r="D4">
        <v>0.40133779264214048</v>
      </c>
    </row>
    <row r="5" spans="1:4" x14ac:dyDescent="0.25">
      <c r="A5" t="s">
        <v>5</v>
      </c>
      <c r="B5">
        <v>2</v>
      </c>
      <c r="C5">
        <v>7812</v>
      </c>
      <c r="D5">
        <v>0.59866220735785958</v>
      </c>
    </row>
    <row r="6" spans="1:4" x14ac:dyDescent="0.25">
      <c r="A6" t="s">
        <v>5</v>
      </c>
      <c r="B6">
        <v>3</v>
      </c>
      <c r="C6">
        <v>7536</v>
      </c>
      <c r="D6">
        <v>1</v>
      </c>
    </row>
    <row r="7" spans="1:4" x14ac:dyDescent="0.25">
      <c r="A7" t="s">
        <v>5</v>
      </c>
      <c r="B7">
        <v>4</v>
      </c>
      <c r="C7">
        <v>5757</v>
      </c>
      <c r="D7">
        <v>0.45268542199488493</v>
      </c>
    </row>
    <row r="8" spans="1:4" x14ac:dyDescent="0.25">
      <c r="A8" t="s">
        <v>5</v>
      </c>
      <c r="B8">
        <v>4</v>
      </c>
      <c r="C8">
        <v>4302</v>
      </c>
      <c r="D8">
        <v>0.54731457800511507</v>
      </c>
    </row>
    <row r="9" spans="1:4" x14ac:dyDescent="0.25">
      <c r="A9" t="s">
        <v>5</v>
      </c>
      <c r="B9">
        <v>5</v>
      </c>
      <c r="C9">
        <v>4657</v>
      </c>
      <c r="D9">
        <v>0.94652330203170276</v>
      </c>
    </row>
    <row r="10" spans="1:4" x14ac:dyDescent="0.25">
      <c r="A10" t="s">
        <v>5</v>
      </c>
      <c r="B10">
        <v>5</v>
      </c>
      <c r="C10">
        <v>5529</v>
      </c>
      <c r="D10">
        <v>5.3476697968297203E-2</v>
      </c>
    </row>
    <row r="11" spans="1:4" x14ac:dyDescent="0.25">
      <c r="A11" t="s">
        <v>5</v>
      </c>
      <c r="B11">
        <v>6</v>
      </c>
      <c r="C11">
        <v>3279</v>
      </c>
      <c r="D11">
        <v>0.10531208136260492</v>
      </c>
    </row>
    <row r="12" spans="1:4" x14ac:dyDescent="0.25">
      <c r="A12" t="s">
        <v>5</v>
      </c>
      <c r="B12">
        <v>6</v>
      </c>
      <c r="C12">
        <v>3673</v>
      </c>
      <c r="D12">
        <v>0.89468791863739505</v>
      </c>
    </row>
    <row r="13" spans="1:4" x14ac:dyDescent="0.25">
      <c r="A13" t="s">
        <v>5</v>
      </c>
      <c r="B13">
        <v>7</v>
      </c>
      <c r="C13">
        <v>2315</v>
      </c>
      <c r="D13">
        <v>0.11556881196437574</v>
      </c>
    </row>
    <row r="14" spans="1:4" x14ac:dyDescent="0.25">
      <c r="A14" t="s">
        <v>5</v>
      </c>
      <c r="B14">
        <v>7</v>
      </c>
      <c r="C14">
        <v>2836</v>
      </c>
      <c r="D14">
        <v>0.24004369013611157</v>
      </c>
    </row>
    <row r="15" spans="1:4" x14ac:dyDescent="0.25">
      <c r="A15" t="s">
        <v>5</v>
      </c>
      <c r="B15">
        <v>7</v>
      </c>
      <c r="C15">
        <v>1626</v>
      </c>
      <c r="D15">
        <v>0.64438749789951266</v>
      </c>
    </row>
    <row r="16" spans="1:4" x14ac:dyDescent="0.25">
      <c r="A16" t="s">
        <v>5</v>
      </c>
      <c r="B16">
        <v>8</v>
      </c>
      <c r="C16">
        <v>1166</v>
      </c>
      <c r="D16">
        <v>0.34977417132358568</v>
      </c>
    </row>
    <row r="17" spans="1:4" x14ac:dyDescent="0.25">
      <c r="A17" t="s">
        <v>5</v>
      </c>
      <c r="B17">
        <v>8</v>
      </c>
      <c r="C17">
        <v>3</v>
      </c>
      <c r="D17">
        <v>1.6213733445609738E-2</v>
      </c>
    </row>
    <row r="18" spans="1:4" x14ac:dyDescent="0.25">
      <c r="A18" t="s">
        <v>5</v>
      </c>
      <c r="B18">
        <v>8</v>
      </c>
      <c r="C18">
        <v>551</v>
      </c>
      <c r="D18">
        <v>0.55948097680471565</v>
      </c>
    </row>
    <row r="19" spans="1:4" x14ac:dyDescent="0.25">
      <c r="A19" t="s">
        <v>5</v>
      </c>
      <c r="B19">
        <v>8</v>
      </c>
      <c r="C19">
        <v>2090</v>
      </c>
      <c r="D19">
        <v>7.4531118426088949E-2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CA77-4BBB-4C5D-8B2B-FD50265F2AD3}">
  <dimension ref="A1:I26"/>
  <sheetViews>
    <sheetView workbookViewId="0">
      <selection activeCell="B2" sqref="B2:B25"/>
    </sheetView>
  </sheetViews>
  <sheetFormatPr defaultRowHeight="15" x14ac:dyDescent="0.25"/>
  <cols>
    <col min="1" max="1" width="13.28515625" bestFit="1" customWidth="1"/>
    <col min="2" max="2" width="17.28515625" bestFit="1" customWidth="1"/>
    <col min="7" max="7" width="13.28515625" bestFit="1" customWidth="1"/>
    <col min="8" max="8" width="17.28515625" bestFit="1" customWidth="1"/>
  </cols>
  <sheetData>
    <row r="1" spans="1:9" x14ac:dyDescent="0.25">
      <c r="A1" t="s">
        <v>2</v>
      </c>
      <c r="B1" t="s">
        <v>50</v>
      </c>
    </row>
    <row r="2" spans="1:9" x14ac:dyDescent="0.25">
      <c r="A2">
        <v>4611</v>
      </c>
      <c r="B2">
        <v>8.6029150373266982E-3</v>
      </c>
    </row>
    <row r="3" spans="1:9" x14ac:dyDescent="0.25">
      <c r="A3">
        <v>4615</v>
      </c>
      <c r="B3">
        <v>2.2076075364379666E-2</v>
      </c>
      <c r="I3" s="23"/>
    </row>
    <row r="4" spans="1:9" x14ac:dyDescent="0.25">
      <c r="A4">
        <v>4616</v>
      </c>
      <c r="B4">
        <v>8.8730892285815849E-2</v>
      </c>
      <c r="I4" s="23"/>
    </row>
    <row r="5" spans="1:9" x14ac:dyDescent="0.25">
      <c r="A5">
        <v>4625</v>
      </c>
      <c r="B5">
        <v>1.5748311411304658E-2</v>
      </c>
      <c r="I5" s="23"/>
    </row>
    <row r="6" spans="1:9" x14ac:dyDescent="0.25">
      <c r="A6">
        <v>4629</v>
      </c>
      <c r="B6">
        <v>1.1695698542481337E-2</v>
      </c>
      <c r="I6" s="23"/>
    </row>
    <row r="7" spans="1:9" x14ac:dyDescent="0.25">
      <c r="A7">
        <v>4633</v>
      </c>
      <c r="B7">
        <v>4.8346960540348385E-2</v>
      </c>
      <c r="I7" s="23"/>
    </row>
    <row r="8" spans="1:9" x14ac:dyDescent="0.25">
      <c r="A8">
        <v>4641</v>
      </c>
      <c r="B8">
        <v>7.4404550302168498E-2</v>
      </c>
      <c r="I8" s="23"/>
    </row>
    <row r="9" spans="1:9" x14ac:dyDescent="0.25">
      <c r="A9">
        <v>4642</v>
      </c>
      <c r="B9">
        <v>2.7337362246711697E-2</v>
      </c>
      <c r="I9" s="23"/>
    </row>
    <row r="10" spans="1:9" x14ac:dyDescent="0.25">
      <c r="A10">
        <v>4643</v>
      </c>
      <c r="B10">
        <v>5.7945254177035194E-3</v>
      </c>
      <c r="I10" s="23"/>
    </row>
    <row r="11" spans="1:9" x14ac:dyDescent="0.25">
      <c r="A11">
        <v>4644</v>
      </c>
      <c r="B11">
        <v>2.6199786704585851E-2</v>
      </c>
      <c r="I11" s="23"/>
    </row>
    <row r="12" spans="1:9" x14ac:dyDescent="0.25">
      <c r="A12">
        <v>4646</v>
      </c>
      <c r="B12">
        <v>0.12651972982580875</v>
      </c>
      <c r="I12" s="23"/>
    </row>
    <row r="13" spans="1:9" x14ac:dyDescent="0.25">
      <c r="A13">
        <v>4649</v>
      </c>
      <c r="B13">
        <v>7.8208318521151791E-3</v>
      </c>
      <c r="I13" s="23"/>
    </row>
    <row r="14" spans="1:9" x14ac:dyDescent="0.25">
      <c r="A14">
        <v>4662</v>
      </c>
      <c r="B14">
        <v>4.9768929968005686E-2</v>
      </c>
      <c r="I14" s="23"/>
    </row>
    <row r="15" spans="1:9" x14ac:dyDescent="0.25">
      <c r="A15">
        <v>4667</v>
      </c>
      <c r="B15">
        <v>1.1198009242801279E-2</v>
      </c>
      <c r="I15" s="23"/>
    </row>
    <row r="16" spans="1:9" x14ac:dyDescent="0.25">
      <c r="A16">
        <v>4671</v>
      </c>
      <c r="B16">
        <v>3.3345183078563809E-2</v>
      </c>
      <c r="I16" s="23"/>
    </row>
    <row r="17" spans="1:9" x14ac:dyDescent="0.25">
      <c r="A17">
        <v>4674</v>
      </c>
      <c r="B17">
        <v>5.2755065766086032E-2</v>
      </c>
      <c r="I17" s="23"/>
    </row>
    <row r="18" spans="1:9" x14ac:dyDescent="0.25">
      <c r="A18">
        <v>4681</v>
      </c>
      <c r="B18">
        <v>2.1791681478848204E-2</v>
      </c>
      <c r="I18" s="23"/>
    </row>
    <row r="19" spans="1:9" x14ac:dyDescent="0.25">
      <c r="A19">
        <v>4682</v>
      </c>
      <c r="B19">
        <v>3.7646640597227159E-2</v>
      </c>
      <c r="I19" s="23"/>
    </row>
    <row r="20" spans="1:9" x14ac:dyDescent="0.25">
      <c r="A20">
        <v>4687</v>
      </c>
      <c r="B20">
        <v>0.11272662637753288</v>
      </c>
      <c r="I20" s="23"/>
    </row>
    <row r="21" spans="1:9" x14ac:dyDescent="0.25">
      <c r="A21">
        <v>4691</v>
      </c>
      <c r="B21">
        <v>7.5257731958762883E-2</v>
      </c>
      <c r="I21" s="23"/>
    </row>
    <row r="22" spans="1:9" x14ac:dyDescent="0.25">
      <c r="A22">
        <v>4694</v>
      </c>
      <c r="B22">
        <v>1.0095982936366868E-2</v>
      </c>
      <c r="I22" s="23"/>
    </row>
    <row r="23" spans="1:9" x14ac:dyDescent="0.25">
      <c r="A23">
        <v>4695</v>
      </c>
      <c r="B23">
        <v>9.1965872733736229E-2</v>
      </c>
      <c r="I23" s="23"/>
    </row>
    <row r="24" spans="1:9" x14ac:dyDescent="0.25">
      <c r="A24">
        <v>4700</v>
      </c>
      <c r="B24">
        <v>1.0487024528972627E-2</v>
      </c>
      <c r="I24" s="23"/>
    </row>
    <row r="25" spans="1:9" x14ac:dyDescent="0.25">
      <c r="A25">
        <v>4708</v>
      </c>
      <c r="B25">
        <v>3.8286526839672944E-2</v>
      </c>
      <c r="I25" s="23"/>
    </row>
    <row r="26" spans="1:9" x14ac:dyDescent="0.25">
      <c r="I2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External_Auto (v3)</vt:lpstr>
      <vt:lpstr>External_Auto (v4)</vt:lpstr>
      <vt:lpstr>External_Auto</vt:lpstr>
      <vt:lpstr>Link_TAZ_lookup</vt:lpstr>
      <vt:lpstr>Airport</vt:lpstr>
      <vt:lpstr>CanaveralCruiseTrips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Sarvepalli, Venkat</cp:lastModifiedBy>
  <dcterms:created xsi:type="dcterms:W3CDTF">2021-08-27T14:28:21Z</dcterms:created>
  <dcterms:modified xsi:type="dcterms:W3CDTF">2024-10-15T21:30:41Z</dcterms:modified>
</cp:coreProperties>
</file>